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hidePivotFieldList="1" defaultThemeVersion="202300"/>
  <mc:AlternateContent xmlns:mc="http://schemas.openxmlformats.org/markup-compatibility/2006">
    <mc:Choice Requires="x15">
      <x15ac:absPath xmlns:x15ac="http://schemas.microsoft.com/office/spreadsheetml/2010/11/ac" url="/Users/aryanpatel/Downloads/"/>
    </mc:Choice>
  </mc:AlternateContent>
  <xr:revisionPtr revIDLastSave="0" documentId="8_{16D539D4-0626-7F43-8C66-2BDC3C2DDD4A}" xr6:coauthVersionLast="47" xr6:coauthVersionMax="47" xr10:uidLastSave="{00000000-0000-0000-0000-000000000000}"/>
  <bookViews>
    <workbookView xWindow="0" yWindow="660" windowWidth="29400" windowHeight="18460" activeTab="1" xr2:uid="{52A75569-0266-41D5-8D31-1F59F35361CE}"/>
  </bookViews>
  <sheets>
    <sheet name="TITLES" sheetId="8" r:id="rId1"/>
    <sheet name="DASHBOARD" sheetId="10" r:id="rId2"/>
    <sheet name="DATA" sheetId="1" r:id="rId3"/>
    <sheet name="MATCHES WON" sheetId="4" r:id="rId4"/>
    <sheet name="TOSS BASED WINS" sheetId="5" r:id="rId5"/>
    <sheet name="TOP 10 VENUES" sheetId="6" r:id="rId6"/>
    <sheet name="POTM" sheetId="7" r:id="rId7"/>
    <sheet name="KPM" sheetId="11" r:id="rId8"/>
    <sheet name="Match_Info" sheetId="3" r:id="rId9"/>
  </sheets>
  <definedNames>
    <definedName name="_xlchart.v1.0" hidden="1">TITLES!$E$7:$E$14</definedName>
    <definedName name="_xlchart.v1.1" hidden="1">TITLES!$F$7:$F$14</definedName>
    <definedName name="_xlchart.v1.2" hidden="1">TITLES!$E$7:$E$14</definedName>
    <definedName name="_xlchart.v1.3" hidden="1">TITLES!$F$7:$F$14</definedName>
    <definedName name="ExternalData_1" localSheetId="8" hidden="1">Match_Info!$A$1:$N$1170</definedName>
    <definedName name="Slicer_SEASON1">#N/A</definedName>
  </definedNames>
  <calcPr calcId="191029"/>
  <pivotCaches>
    <pivotCache cacheId="36" r:id="rId10"/>
    <pivotCache cacheId="37" r:id="rId11"/>
  </pivotCaches>
  <fileRecoveryPr repairLoad="1"/>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6" i="11" l="1"/>
  <c r="O16" i="11"/>
  <c r="M16" i="11"/>
  <c r="L16" i="11"/>
  <c r="F8" i="8"/>
  <c r="F9" i="8"/>
  <c r="F10" i="8"/>
  <c r="F11" i="8"/>
  <c r="F12" i="8"/>
  <c r="F13" i="8"/>
  <c r="F14" i="8"/>
  <c r="F7" i="8"/>
  <c r="E8" i="8"/>
  <c r="E9" i="8"/>
  <c r="E10" i="8"/>
  <c r="E11" i="8"/>
  <c r="E12" i="8"/>
  <c r="E13" i="8"/>
  <c r="E14" i="8"/>
  <c r="E7" i="8"/>
  <c r="E11" i="7"/>
  <c r="E12" i="7"/>
  <c r="E13" i="7"/>
  <c r="E14" i="7"/>
  <c r="E15" i="7"/>
  <c r="E16" i="7"/>
  <c r="E17" i="7"/>
  <c r="E18" i="7"/>
  <c r="E19" i="7"/>
  <c r="E10" i="7"/>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F18" i="7"/>
  <c r="F11" i="7"/>
  <c r="F19" i="7"/>
  <c r="F15" i="7"/>
  <c r="F12" i="7"/>
  <c r="F10" i="7"/>
  <c r="F14" i="7"/>
  <c r="F16" i="7"/>
  <c r="F17" i="7"/>
  <c r="F1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9B320F-2279-4ECF-917E-34746AAADA46}" keepAlive="1" name="Query - Match_Info" description="Connection to the 'Match_Info' query in the workbook." type="5" refreshedVersion="8" background="1" saveData="1">
    <dbPr connection="Provider=Microsoft.Mashup.OleDb.1;Data Source=$Workbook$;Location=Match_Info;Extended Properties=&quot;&quot;" command="SELECT * FROM [Match_Info]"/>
  </connection>
</connections>
</file>

<file path=xl/sharedStrings.xml><?xml version="1.0" encoding="utf-8"?>
<sst xmlns="http://schemas.openxmlformats.org/spreadsheetml/2006/main" count="12015" uniqueCount="531">
  <si>
    <t>season</t>
  </si>
  <si>
    <t>total_matches</t>
  </si>
  <si>
    <t>num_teams</t>
  </si>
  <si>
    <t>champion</t>
  </si>
  <si>
    <t>runner_up</t>
  </si>
  <si>
    <t>orange_cap_winner</t>
  </si>
  <si>
    <t>purple_cap_winner</t>
  </si>
  <si>
    <t>most_valuable_player</t>
  </si>
  <si>
    <t>total_runs_scored</t>
  </si>
  <si>
    <t>total_sixes</t>
  </si>
  <si>
    <t>total_fours</t>
  </si>
  <si>
    <t>avg_first_innings_score</t>
  </si>
  <si>
    <t>highest_team_total</t>
  </si>
  <si>
    <t>lowest_team_total</t>
  </si>
  <si>
    <t>Rajasthan Royals</t>
  </si>
  <si>
    <t>Chennai Super Kings</t>
  </si>
  <si>
    <t>Shaun Marsh</t>
  </si>
  <si>
    <t>Sohail Tanvir</t>
  </si>
  <si>
    <t>Shane Watson</t>
  </si>
  <si>
    <t>Deccan Chargers</t>
  </si>
  <si>
    <t>Royal Challengers Bangalore</t>
  </si>
  <si>
    <t>Matthew Hayden</t>
  </si>
  <si>
    <t>RP Singh</t>
  </si>
  <si>
    <t>Adam Gilchrist</t>
  </si>
  <si>
    <t>Mumbai Indians</t>
  </si>
  <si>
    <t>Sachin Tendulkar</t>
  </si>
  <si>
    <t>Pragyan Ojha</t>
  </si>
  <si>
    <t>Chris Gayle</t>
  </si>
  <si>
    <t>Lasith Malinga</t>
  </si>
  <si>
    <t>Kolkata Knight Riders</t>
  </si>
  <si>
    <t>Morne Morkel</t>
  </si>
  <si>
    <t>Michael Hussey</t>
  </si>
  <si>
    <t>Dwayne Bravo</t>
  </si>
  <si>
    <t>Kings XI Punjab</t>
  </si>
  <si>
    <t>Robin Uthappa</t>
  </si>
  <si>
    <t>Mohit Sharma</t>
  </si>
  <si>
    <t>Glenn Maxwell</t>
  </si>
  <si>
    <t>David Warner</t>
  </si>
  <si>
    <t>AB de Villiers</t>
  </si>
  <si>
    <t>Sunrisers Hyderabad</t>
  </si>
  <si>
    <t>Virat Kohli</t>
  </si>
  <si>
    <t>Bhuvneshwar Kumar</t>
  </si>
  <si>
    <t>Rising Pune Supergiant</t>
  </si>
  <si>
    <t>Ben Stokes</t>
  </si>
  <si>
    <t>Kane Williamson</t>
  </si>
  <si>
    <t>Andrew Tye</t>
  </si>
  <si>
    <t>Sunil Narine</t>
  </si>
  <si>
    <t>Imran Tahir</t>
  </si>
  <si>
    <t>Andre Russell</t>
  </si>
  <si>
    <t>Delhi Capitals</t>
  </si>
  <si>
    <t>KL Rahul</t>
  </si>
  <si>
    <t>Kagiso Rabada</t>
  </si>
  <si>
    <t>Jofra Archer</t>
  </si>
  <si>
    <t>Ruturaj Gaikwad</t>
  </si>
  <si>
    <t>Harshal Patel</t>
  </si>
  <si>
    <t>Gujarat Titans</t>
  </si>
  <si>
    <t>Jos Buttler</t>
  </si>
  <si>
    <t>Yuzvendra Chahal</t>
  </si>
  <si>
    <t>Hardik Pandya</t>
  </si>
  <si>
    <t>Shubman Gill</t>
  </si>
  <si>
    <t>Mohammed Shami</t>
  </si>
  <si>
    <t>Royal Challengers Bengaluru</t>
  </si>
  <si>
    <t>Punjab Kings</t>
  </si>
  <si>
    <t>B Sai Sudharsan</t>
  </si>
  <si>
    <t>Prasidh Krishna</t>
  </si>
  <si>
    <t>Suryakumar Yadav</t>
  </si>
  <si>
    <t>match_number</t>
  </si>
  <si>
    <t>team1</t>
  </si>
  <si>
    <t>team2</t>
  </si>
  <si>
    <t>match_date</t>
  </si>
  <si>
    <t>toss_winner</t>
  </si>
  <si>
    <t>toss_decision</t>
  </si>
  <si>
    <t>result</t>
  </si>
  <si>
    <t>winner</t>
  </si>
  <si>
    <t>venue</t>
  </si>
  <si>
    <t>city</t>
  </si>
  <si>
    <t>Delhi Daredevils</t>
  </si>
  <si>
    <t>bat</t>
  </si>
  <si>
    <t>Win</t>
  </si>
  <si>
    <t>NA</t>
  </si>
  <si>
    <t>DA Warner</t>
  </si>
  <si>
    <t>Shaheed Veer Narayan Singh International Stadium</t>
  </si>
  <si>
    <t>Raipur</t>
  </si>
  <si>
    <t>Sandeep Sharma</t>
  </si>
  <si>
    <t>Sawai Mansingh Stadium, Jaipur</t>
  </si>
  <si>
    <t>Jaipur</t>
  </si>
  <si>
    <t>ML Hayden</t>
  </si>
  <si>
    <t>Feroz Shah Kotla</t>
  </si>
  <si>
    <t>Delhi</t>
  </si>
  <si>
    <t>field</t>
  </si>
  <si>
    <t>S Dhawan</t>
  </si>
  <si>
    <t>Wankhede Stadium, Mumbai</t>
  </si>
  <si>
    <t>Mumbai</t>
  </si>
  <si>
    <t>R Ashwin</t>
  </si>
  <si>
    <t>Punjab Cricket Association IS Bindra Stadium</t>
  </si>
  <si>
    <t>Chandigarh</t>
  </si>
  <si>
    <t>RG Sharma</t>
  </si>
  <si>
    <t>Wankhede Stadium</t>
  </si>
  <si>
    <t>RJ Harris</t>
  </si>
  <si>
    <t>Vidarbha Cricket Association Stadium, Jamtha</t>
  </si>
  <si>
    <t>Nagpur</t>
  </si>
  <si>
    <t>Harbhajan Singh</t>
  </si>
  <si>
    <t>KD Karthik</t>
  </si>
  <si>
    <t>Sheikh Zayed Stadium</t>
  </si>
  <si>
    <t>Abu Dhabi</t>
  </si>
  <si>
    <t>MA Starc</t>
  </si>
  <si>
    <t>MA Chidambaram Stadium, Chepauk, Chennai</t>
  </si>
  <si>
    <t>Chennai</t>
  </si>
  <si>
    <t>JJ Bumrah</t>
  </si>
  <si>
    <t>Maharaja Yadavindra Singh International Cricket Stadium, Mullanpur</t>
  </si>
  <si>
    <t>Mohali</t>
  </si>
  <si>
    <t>PA Patel</t>
  </si>
  <si>
    <t>Punjab Cricket Association Stadium, Mohali</t>
  </si>
  <si>
    <t>Brabourne Stadium, Mumbai</t>
  </si>
  <si>
    <t>A Nehra</t>
  </si>
  <si>
    <t>JSCA International Stadium Complex</t>
  </si>
  <si>
    <t>Ranchi</t>
  </si>
  <si>
    <t>Lucknow Super Giants</t>
  </si>
  <si>
    <t>J Overton</t>
  </si>
  <si>
    <t>MS Dhoni</t>
  </si>
  <si>
    <t>MA Chidambaram Stadium, Chepauk</t>
  </si>
  <si>
    <t>Gujarat Lions</t>
  </si>
  <si>
    <t>N Rana</t>
  </si>
  <si>
    <t>KA Pollard</t>
  </si>
  <si>
    <t>Zayed Cricket Stadium, Abu Dhabi</t>
  </si>
  <si>
    <t>MC Henriques</t>
  </si>
  <si>
    <t>Dr. Y.S. Rajasekhara Reddy ACA-VDCA Cricket Stadium</t>
  </si>
  <si>
    <t>Visakhapatnam</t>
  </si>
  <si>
    <t>SS Iyer</t>
  </si>
  <si>
    <t>Narendra Modi Stadium, Ahmedabad</t>
  </si>
  <si>
    <t>Ahmedabad</t>
  </si>
  <si>
    <t>BA Stokes</t>
  </si>
  <si>
    <t>DR Sams</t>
  </si>
  <si>
    <t>SP Narine</t>
  </si>
  <si>
    <t>Eden Gardens</t>
  </si>
  <si>
    <t>Kolkata</t>
  </si>
  <si>
    <t>V Suryavanshi</t>
  </si>
  <si>
    <t>AR Patel</t>
  </si>
  <si>
    <t>Saurashtra Cricket Association Stadium</t>
  </si>
  <si>
    <t>Rajkot</t>
  </si>
  <si>
    <t>AD Russell</t>
  </si>
  <si>
    <t>G Gambhir</t>
  </si>
  <si>
    <t>MEK Hussey</t>
  </si>
  <si>
    <t>KS Williamson</t>
  </si>
  <si>
    <t>Rajiv Gandhi International Stadium</t>
  </si>
  <si>
    <t>Hyderabad</t>
  </si>
  <si>
    <t>BA Bhatt</t>
  </si>
  <si>
    <t>R Shepherd</t>
  </si>
  <si>
    <t>KH Pandya</t>
  </si>
  <si>
    <t>Arun Jaitley Stadium, Delhi</t>
  </si>
  <si>
    <t>SE Marsh</t>
  </si>
  <si>
    <t>A Mishra</t>
  </si>
  <si>
    <t>KP Pietersen</t>
  </si>
  <si>
    <t>Sawai Mansingh Stadium</t>
  </si>
  <si>
    <t>MA Wood</t>
  </si>
  <si>
    <t>Bharat Ratna Shri Atal Bihari Vajpayee Ekana Cricket Stadium, Lucknow</t>
  </si>
  <si>
    <t>Lucknow</t>
  </si>
  <si>
    <t>Dubai International Cricket Stadium</t>
  </si>
  <si>
    <t>DR Smith</t>
  </si>
  <si>
    <t>Punjab Cricket Association IS Bindra Stadium, Mohali</t>
  </si>
  <si>
    <t>Pune Warriors</t>
  </si>
  <si>
    <t>SL Malinga</t>
  </si>
  <si>
    <t>Subrata Roy Sahara Stadium</t>
  </si>
  <si>
    <t>Pune</t>
  </si>
  <si>
    <t>Rajiv Gandhi International Stadium, Uppal</t>
  </si>
  <si>
    <t>AJ Finch</t>
  </si>
  <si>
    <t>SR Watson</t>
  </si>
  <si>
    <t>JO Holder</t>
  </si>
  <si>
    <t>Sharjah Cricket Stadium</t>
  </si>
  <si>
    <t>Sharjah</t>
  </si>
  <si>
    <t>Arshdeep Singh</t>
  </si>
  <si>
    <t>Punjab Cricket Association IS Bindra Stadium, Mohali, Chandigarh</t>
  </si>
  <si>
    <t>J Fraser-McGurk</t>
  </si>
  <si>
    <t>M Ntini</t>
  </si>
  <si>
    <t>AC Gilchrist</t>
  </si>
  <si>
    <t>Himachal Pradesh Cricket Association Stadium</t>
  </si>
  <si>
    <t>Dharamsala</t>
  </si>
  <si>
    <t>PP Chawla</t>
  </si>
  <si>
    <t>RD Gaikwad</t>
  </si>
  <si>
    <t>RA Jadeja</t>
  </si>
  <si>
    <t>no result</t>
  </si>
  <si>
    <t>N</t>
  </si>
  <si>
    <t>R Sai Kishore</t>
  </si>
  <si>
    <t>RR Pant</t>
  </si>
  <si>
    <t>AA Jhunjhunwala</t>
  </si>
  <si>
    <t>Sardar Patel Stadium, Motera</t>
  </si>
  <si>
    <t>JD Unadkat</t>
  </si>
  <si>
    <t>SV Samson</t>
  </si>
  <si>
    <t>FH Allen</t>
  </si>
  <si>
    <t>F du Plessis</t>
  </si>
  <si>
    <t>Dubai</t>
  </si>
  <si>
    <t>Avesh Khan</t>
  </si>
  <si>
    <t>RV Uthappa</t>
  </si>
  <si>
    <t>Rising Pune Supergiants</t>
  </si>
  <si>
    <t>AB Dinda</t>
  </si>
  <si>
    <t>BB McCullum</t>
  </si>
  <si>
    <t>M Chinnaswamy Stadium</t>
  </si>
  <si>
    <t>Bangalore</t>
  </si>
  <si>
    <t>ST Jayasuriya</t>
  </si>
  <si>
    <t>YK Pathan</t>
  </si>
  <si>
    <t>SuperSport Park</t>
  </si>
  <si>
    <t>Centurion</t>
  </si>
  <si>
    <t>DPMD Jayawardene</t>
  </si>
  <si>
    <t>De Beers Diamond Oval</t>
  </si>
  <si>
    <t>Kimberley</t>
  </si>
  <si>
    <t>M Vijay</t>
  </si>
  <si>
    <t>SM Curran</t>
  </si>
  <si>
    <t>TA Boult</t>
  </si>
  <si>
    <t>KC Sangakkara</t>
  </si>
  <si>
    <t>Newlands</t>
  </si>
  <si>
    <t>Cape Town</t>
  </si>
  <si>
    <t>GD McGrath</t>
  </si>
  <si>
    <t>Dr DY Patil Sports Academy, Mumbai</t>
  </si>
  <si>
    <t>Ishan Kishan</t>
  </si>
  <si>
    <t>CH Gayle</t>
  </si>
  <si>
    <t>Kingsmead</t>
  </si>
  <si>
    <t>Durban</t>
  </si>
  <si>
    <t>P Negi</t>
  </si>
  <si>
    <t>Kuldeep Yadav</t>
  </si>
  <si>
    <t>M Vohra</t>
  </si>
  <si>
    <t>JM Bairstow</t>
  </si>
  <si>
    <t>NM Coulter-Nile</t>
  </si>
  <si>
    <t>KK Nair</t>
  </si>
  <si>
    <t>MV Boucher</t>
  </si>
  <si>
    <t>VR Iyer</t>
  </si>
  <si>
    <t>Yuvraj Singh</t>
  </si>
  <si>
    <t>Yash Thakur</t>
  </si>
  <si>
    <t>Eden Gardens, Kolkata</t>
  </si>
  <si>
    <t>Nithish Kumar Reddy</t>
  </si>
  <si>
    <t>J Botha</t>
  </si>
  <si>
    <t>MA Agarwal</t>
  </si>
  <si>
    <t>AT Rayudu</t>
  </si>
  <si>
    <t>Brabourne Stadium</t>
  </si>
  <si>
    <t>AD Mascarenhas</t>
  </si>
  <si>
    <t>Abhishek Sharma</t>
  </si>
  <si>
    <t>Rajiv Gandhi International Stadium, Uppal, Hyderabad</t>
  </si>
  <si>
    <t>VG Arora</t>
  </si>
  <si>
    <t>SPD Smith</t>
  </si>
  <si>
    <t>M Morkel</t>
  </si>
  <si>
    <t>RD Rickelton</t>
  </si>
  <si>
    <t>UT Yadav</t>
  </si>
  <si>
    <t>N Pooran</t>
  </si>
  <si>
    <t>M Chinnaswamy Stadium, Bengaluru</t>
  </si>
  <si>
    <t>Bengaluru</t>
  </si>
  <si>
    <t>CV Varun</t>
  </si>
  <si>
    <t>MP Stoinis</t>
  </si>
  <si>
    <t>Kochi Tuskers Kerala</t>
  </si>
  <si>
    <t>JC Buttler</t>
  </si>
  <si>
    <t>GJ Maxwell</t>
  </si>
  <si>
    <t>JH Kallis</t>
  </si>
  <si>
    <t>Shashank Singh</t>
  </si>
  <si>
    <t>MM Ali</t>
  </si>
  <si>
    <t>MA Chidambaram Stadium</t>
  </si>
  <si>
    <t>MK Pandey</t>
  </si>
  <si>
    <t>LH Ferguson</t>
  </si>
  <si>
    <t>Maharashtra Cricket Association Stadium</t>
  </si>
  <si>
    <t>JP Faulkner</t>
  </si>
  <si>
    <t>V Kohli</t>
  </si>
  <si>
    <t>MJ Lumb</t>
  </si>
  <si>
    <t>SK Raina</t>
  </si>
  <si>
    <t>Washington Sundar</t>
  </si>
  <si>
    <t>C Green</t>
  </si>
  <si>
    <t>Sameer Rizvi</t>
  </si>
  <si>
    <t>AM Rahane</t>
  </si>
  <si>
    <t>LRPL Taylor</t>
  </si>
  <si>
    <t>DS Rathi</t>
  </si>
  <si>
    <t>JR Hazlewood</t>
  </si>
  <si>
    <t>RM Patidar</t>
  </si>
  <si>
    <t>A Nortje</t>
  </si>
  <si>
    <t>SW Billings</t>
  </si>
  <si>
    <t>Mukesh Choudhary</t>
  </si>
  <si>
    <t>Navi Mumbai</t>
  </si>
  <si>
    <t>S Sohal</t>
  </si>
  <si>
    <t>Dr DY Patil Sports Academy</t>
  </si>
  <si>
    <t>JP Duminy</t>
  </si>
  <si>
    <t>P Simran Singh</t>
  </si>
  <si>
    <t>TH David</t>
  </si>
  <si>
    <t>BW Hilfenhaus</t>
  </si>
  <si>
    <t>R Tewatia</t>
  </si>
  <si>
    <t>WPUJC Vaas</t>
  </si>
  <si>
    <t>PN Mankad</t>
  </si>
  <si>
    <t>TM Head</t>
  </si>
  <si>
    <t>MF Maharoof</t>
  </si>
  <si>
    <t>M Prasidh Krishna</t>
  </si>
  <si>
    <t>YBK Jaiswal</t>
  </si>
  <si>
    <t>PD Collingwood</t>
  </si>
  <si>
    <t>A Chandila</t>
  </si>
  <si>
    <t>SA Yadav</t>
  </si>
  <si>
    <t>P Kumar</t>
  </si>
  <si>
    <t>SO Hetmyer</t>
  </si>
  <si>
    <t>SN Thakur</t>
  </si>
  <si>
    <t>AS Rajpoot</t>
  </si>
  <si>
    <t>Arun Jaitley Stadium</t>
  </si>
  <si>
    <t>AP Tare</t>
  </si>
  <si>
    <t>M.Chinnaswamy Stadium</t>
  </si>
  <si>
    <t>MS Bisla</t>
  </si>
  <si>
    <t>Rashid Khan</t>
  </si>
  <si>
    <t>Priyansh Arya</t>
  </si>
  <si>
    <t>Shivam Mavi</t>
  </si>
  <si>
    <t>PP Hinge</t>
  </si>
  <si>
    <t>KV Sharma</t>
  </si>
  <si>
    <t>Green Park</t>
  </si>
  <si>
    <t>Kanpur</t>
  </si>
  <si>
    <t>Iqbal Abdulla</t>
  </si>
  <si>
    <t>Holkar Cricket Stadium</t>
  </si>
  <si>
    <t>Indore</t>
  </si>
  <si>
    <t>MP Yadav</t>
  </si>
  <si>
    <t>E Malinga</t>
  </si>
  <si>
    <t>DE Bollinger</t>
  </si>
  <si>
    <t>PD Salt</t>
  </si>
  <si>
    <t>tie</t>
  </si>
  <si>
    <t>SC Ganguly</t>
  </si>
  <si>
    <t>SK Warne</t>
  </si>
  <si>
    <t>MM Sharma</t>
  </si>
  <si>
    <t>AD Mathews</t>
  </si>
  <si>
    <t>Q de Kock</t>
  </si>
  <si>
    <t>RR Rossouw</t>
  </si>
  <si>
    <t>Himachal Pradesh Cricket Association Stadium, Dharamsala</t>
  </si>
  <si>
    <t>RK Singh</t>
  </si>
  <si>
    <t>V Sehwag</t>
  </si>
  <si>
    <t>I Sharma</t>
  </si>
  <si>
    <t>MS Gony</t>
  </si>
  <si>
    <t>Shoaib Akhtar</t>
  </si>
  <si>
    <t>B Kumar</t>
  </si>
  <si>
    <t>Sikandar Raza</t>
  </si>
  <si>
    <t>Tilak Varma</t>
  </si>
  <si>
    <t>SR Tendulkar</t>
  </si>
  <si>
    <t>MJ McClenaghan</t>
  </si>
  <si>
    <t>DA Miller</t>
  </si>
  <si>
    <t>Mohammed Siraj</t>
  </si>
  <si>
    <t>WP Saha</t>
  </si>
  <si>
    <t>Barabati Stadium</t>
  </si>
  <si>
    <t>Cuttack</t>
  </si>
  <si>
    <t>YS Chahal</t>
  </si>
  <si>
    <t>Buffalo Park</t>
  </si>
  <si>
    <t>East London</t>
  </si>
  <si>
    <t>St George's Park</t>
  </si>
  <si>
    <t>Port Elizabeth</t>
  </si>
  <si>
    <t>SM Pollock</t>
  </si>
  <si>
    <t>HV Patel</t>
  </si>
  <si>
    <t>Maharashtra Cricket Association Stadium, Pune</t>
  </si>
  <si>
    <t>A Kumble</t>
  </si>
  <si>
    <t>DW Steyn</t>
  </si>
  <si>
    <t>SB Jakati</t>
  </si>
  <si>
    <t>New Wanderers Stadium</t>
  </si>
  <si>
    <t>Johannesburg</t>
  </si>
  <si>
    <t>MR Marsh</t>
  </si>
  <si>
    <t>JA Morkel</t>
  </si>
  <si>
    <t>CJ Anderson</t>
  </si>
  <si>
    <t>A Symonds</t>
  </si>
  <si>
    <t>Umran Malik</t>
  </si>
  <si>
    <t>Barsapara Cricket Stadium, Guwahati</t>
  </si>
  <si>
    <t>Guwahati</t>
  </si>
  <si>
    <t>S Dube</t>
  </si>
  <si>
    <t>MD Choudhary</t>
  </si>
  <si>
    <t>DP Conway</t>
  </si>
  <si>
    <t>H Klaasen</t>
  </si>
  <si>
    <t>RD Chahar</t>
  </si>
  <si>
    <t>Nehru Stadium</t>
  </si>
  <si>
    <t>Kochi</t>
  </si>
  <si>
    <t>Azhar Mahmood</t>
  </si>
  <si>
    <t>AJ Tye</t>
  </si>
  <si>
    <t>MK Tiwary</t>
  </si>
  <si>
    <t>PP Shaw</t>
  </si>
  <si>
    <t>HH Pandya</t>
  </si>
  <si>
    <t>Harmeet Singh</t>
  </si>
  <si>
    <t>A Zampa</t>
  </si>
  <si>
    <t>JEC Franklin</t>
  </si>
  <si>
    <t>DJ Bravo</t>
  </si>
  <si>
    <t>R Dravid</t>
  </si>
  <si>
    <t>PV Tambe</t>
  </si>
  <si>
    <t>S Nadeem</t>
  </si>
  <si>
    <t>B Lee</t>
  </si>
  <si>
    <t>SM Katich</t>
  </si>
  <si>
    <t>R McLaren</t>
  </si>
  <si>
    <t>RA Tripathi</t>
  </si>
  <si>
    <t>S Gopal</t>
  </si>
  <si>
    <t>M Pathirana</t>
  </si>
  <si>
    <t>LJ Wright</t>
  </si>
  <si>
    <t>PWH de Silva</t>
  </si>
  <si>
    <t>Simarjeet Singh</t>
  </si>
  <si>
    <t>M Muralitharan</t>
  </si>
  <si>
    <t>KK Cooper</t>
  </si>
  <si>
    <t>GC Smith</t>
  </si>
  <si>
    <t>BJ Hodge</t>
  </si>
  <si>
    <t>MG Johnson</t>
  </si>
  <si>
    <t>DJG Sammy</t>
  </si>
  <si>
    <t>MD Mishra</t>
  </si>
  <si>
    <t>VR Aaron</t>
  </si>
  <si>
    <t>Ravi Bishnoi</t>
  </si>
  <si>
    <t>S Badrinath</t>
  </si>
  <si>
    <t>B Stanlake</t>
  </si>
  <si>
    <t>AC Voges</t>
  </si>
  <si>
    <t>TM Dilshan</t>
  </si>
  <si>
    <t>DJ Hussey</t>
  </si>
  <si>
    <t>KK Ahmed</t>
  </si>
  <si>
    <t>Mustafizur Rahman</t>
  </si>
  <si>
    <t>NV Ojha</t>
  </si>
  <si>
    <t>DL Chahar</t>
  </si>
  <si>
    <t>SB Wagh</t>
  </si>
  <si>
    <t>JD Ryder</t>
  </si>
  <si>
    <t>Harpreet Brar</t>
  </si>
  <si>
    <t>Akash Madhwal</t>
  </si>
  <si>
    <t>Ashutosh Sharma</t>
  </si>
  <si>
    <t>Dr. Y.S. Rajasekhara Reddy ACA-VDCA Cricket Stadium, Visakhapatnam</t>
  </si>
  <si>
    <t>OUTsurance Oval</t>
  </si>
  <si>
    <t>Bloemfontein</t>
  </si>
  <si>
    <t>R Vinay Kumar</t>
  </si>
  <si>
    <t>C Connolly</t>
  </si>
  <si>
    <t>Maharaja Yadavindra Singh International Cricket Stadium, New Chandigarh</t>
  </si>
  <si>
    <t>New Chandigarh</t>
  </si>
  <si>
    <t>SP Goswami</t>
  </si>
  <si>
    <t>DJ Hooda</t>
  </si>
  <si>
    <t>Noor Ahmad</t>
  </si>
  <si>
    <t>HH Gibbs</t>
  </si>
  <si>
    <t>S Anirudha</t>
  </si>
  <si>
    <t>S Aravind</t>
  </si>
  <si>
    <t>M Kartik</t>
  </si>
  <si>
    <t>PK Garg</t>
  </si>
  <si>
    <t>LMP Simmons</t>
  </si>
  <si>
    <t>Mohsin Khan</t>
  </si>
  <si>
    <t>GD Phillips</t>
  </si>
  <si>
    <t>AK Markram</t>
  </si>
  <si>
    <t>R Bhatia</t>
  </si>
  <si>
    <t>AS Joseph</t>
  </si>
  <si>
    <t>GH Vihari</t>
  </si>
  <si>
    <t>CL White</t>
  </si>
  <si>
    <t>EJG Morgan</t>
  </si>
  <si>
    <t>PC Valthaty</t>
  </si>
  <si>
    <t>K Rabada</t>
  </si>
  <si>
    <t>WG Jacks</t>
  </si>
  <si>
    <t>CJ Jordan</t>
  </si>
  <si>
    <t>JDP Oram</t>
  </si>
  <si>
    <t>JJ Roy</t>
  </si>
  <si>
    <t>CA Lynn</t>
  </si>
  <si>
    <t>DL Vettori</t>
  </si>
  <si>
    <t>Kartik Tyagi</t>
  </si>
  <si>
    <t>Suyash Sharma</t>
  </si>
  <si>
    <t>Mukesh Kumar</t>
  </si>
  <si>
    <t>A Manohar</t>
  </si>
  <si>
    <t>Mandeep Singh</t>
  </si>
  <si>
    <t>MM Patel</t>
  </si>
  <si>
    <t>KM Jadhav</t>
  </si>
  <si>
    <t>HM Amla</t>
  </si>
  <si>
    <t>KMDN Kulasekara</t>
  </si>
  <si>
    <t>JC Archer</t>
  </si>
  <si>
    <t>Anuj Rawat</t>
  </si>
  <si>
    <t>IK Pathan</t>
  </si>
  <si>
    <t>L Balaji</t>
  </si>
  <si>
    <t>CH Morris</t>
  </si>
  <si>
    <t>CRD Fernando</t>
  </si>
  <si>
    <t>TL Suman</t>
  </si>
  <si>
    <t>Mujeeb Ur Rahman</t>
  </si>
  <si>
    <t>KS Bharat</t>
  </si>
  <si>
    <t>JP Inglis</t>
  </si>
  <si>
    <t>M Tiwari</t>
  </si>
  <si>
    <t>PP Ojha</t>
  </si>
  <si>
    <t>RE Levi</t>
  </si>
  <si>
    <t>D Padikkal</t>
  </si>
  <si>
    <t>GJ Bailey</t>
  </si>
  <si>
    <t>LS Livingstone</t>
  </si>
  <si>
    <t>HF Gurney</t>
  </si>
  <si>
    <t>MN Samuels</t>
  </si>
  <si>
    <t>JA Duffy</t>
  </si>
  <si>
    <t>WD Parnell</t>
  </si>
  <si>
    <t>PJ Cummins</t>
  </si>
  <si>
    <t>HC Brook</t>
  </si>
  <si>
    <t>S Sreesanth</t>
  </si>
  <si>
    <t>TG Southee</t>
  </si>
  <si>
    <t>SK Trivedi</t>
  </si>
  <si>
    <t>D Ferreira</t>
  </si>
  <si>
    <t>LR Shukla</t>
  </si>
  <si>
    <t>A Singh</t>
  </si>
  <si>
    <t>E Lewis</t>
  </si>
  <si>
    <t>L Ngidi</t>
  </si>
  <si>
    <t>P Parameswaran</t>
  </si>
  <si>
    <t>Umar Gul</t>
  </si>
  <si>
    <t>CR Brathwaite</t>
  </si>
  <si>
    <t>M Jansen</t>
  </si>
  <si>
    <t>J Theron</t>
  </si>
  <si>
    <t>BCJ Cutting</t>
  </si>
  <si>
    <t>R Sharma</t>
  </si>
  <si>
    <t>T Stubbs</t>
  </si>
  <si>
    <t>Shakib Al Hasan</t>
  </si>
  <si>
    <t>SA Asnodkar</t>
  </si>
  <si>
    <t>R Parag</t>
  </si>
  <si>
    <t>JM Sharma</t>
  </si>
  <si>
    <t>RS Bopara</t>
  </si>
  <si>
    <t>J Little</t>
  </si>
  <si>
    <t>Z Khan</t>
  </si>
  <si>
    <t>NT Ellis</t>
  </si>
  <si>
    <t>D Brevis</t>
  </si>
  <si>
    <t>Ashwani Kumar</t>
  </si>
  <si>
    <t>N Burger</t>
  </si>
  <si>
    <t>KMA Paul</t>
  </si>
  <si>
    <t>Shahbaz Ahmed</t>
  </si>
  <si>
    <t>OF Smith</t>
  </si>
  <si>
    <t>DP Nannes</t>
  </si>
  <si>
    <t>Column1</t>
  </si>
  <si>
    <t>YEAR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</si>
  <si>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</si>
  <si>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</si>
  <si>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</si>
  <si>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</si>
  <si>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</si>
  <si>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</si>
  <si>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</si>
  <si>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</si>
  <si>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</si>
  <si>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</si>
  <si>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</si>
  <si>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</si>
  <si>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</si>
  <si>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</si>
  <si>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</si>
  <si>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</si>
  <si>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</si>
  <si>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</si>
  <si>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IPL-2026</t>
  </si>
  <si>
    <t>POTM</t>
  </si>
  <si>
    <t>Row Labels</t>
  </si>
  <si>
    <t>Grand Total</t>
  </si>
  <si>
    <t>Count of winner</t>
  </si>
  <si>
    <t>Column Labels</t>
  </si>
  <si>
    <t>SEASON</t>
  </si>
  <si>
    <t>Count of POTM</t>
  </si>
  <si>
    <t>POTM WON</t>
  </si>
  <si>
    <t>Count of champion</t>
  </si>
  <si>
    <t>RUNNER UP</t>
  </si>
  <si>
    <t>CHAMPION</t>
  </si>
  <si>
    <t>PLAYER OF THE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</si>
</sst>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3" fillId="33" borderId="10" xfId="0" applyFont="1" applyFill="1" applyBorder="1"/>
    <xf numFmtId="0" fontId="13" fillId="33" borderId="11" xfId="0" applyFont="1" applyFill="1" applyBorder="1"/>
    <xf numFmtId="0" fontId="13" fillId="33" borderId="12"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patternType="solid">
          <fgColor rgb="FF1B2A4A"/>
        </patternFill>
      </fill>
    </dxf>
    <dxf>
      <font>
        <color rgb="FF1B2A4A"/>
      </font>
      <fill>
        <gradientFill degree="90">
          <stop position="0">
            <color theme="0"/>
          </stop>
          <stop position="1">
            <color theme="4"/>
          </stop>
        </gradientFill>
      </fill>
    </dxf>
    <dxf>
      <font>
        <color rgb="FF1B2A4A"/>
      </font>
    </dxf>
  </dxfs>
  <tableStyles count="4" defaultTableStyle="TableStyleMedium2" defaultPivotStyle="PivotStyleLight16">
    <tableStyle name="Slicer Style 1" pivot="0" table="0" count="0" xr9:uid="{392D03D9-A599-4928-BC0D-C9E2EBB126B3}"/>
    <tableStyle name="Slicer Style 2" pivot="0" table="0" count="1" xr9:uid="{3B6AA823-433E-4F65-BCF9-263257A8BB0A}">
      <tableStyleElement type="wholeTable" dxfId="2"/>
    </tableStyle>
    <tableStyle name="Slicer Style 3" pivot="0" table="0" count="1" xr9:uid="{896CF948-90B2-4561-A92D-A7923662BFF1}">
      <tableStyleElement type="wholeTable" dxfId="1"/>
    </tableStyle>
    <tableStyle name="Slicer Style 4" pivot="0" table="0" count="1" xr9:uid="{685E2936-7B2F-4D28-A640-1AE8EA4B454D}">
      <tableStyleElement type="wholeTable" dxfId="0"/>
    </tableStyle>
  </tableStyles>
  <colors>
    <mruColors>
      <color rgb="FF1B2A4A"/>
      <color rgb="FFFFFBC7"/>
      <color rgb="FF6C8FCC"/>
      <color rgb="FFF0F4FA"/>
      <color rgb="FFE8C46A"/>
      <color rgb="FF2D4A8A"/>
      <color rgb="FFF5A623"/>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(1).xlsx]MATCHES WON!PivotTable1</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MATCHES WON BY TEAM wrt</a:t>
            </a:r>
            <a:r>
              <a:rPr lang="en-US" sz="2000" b="1" baseline="0"/>
              <a:t> TOSS DECISION</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B2A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A6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52925680721745E-2"/>
          <c:y val="0.15319444444444447"/>
          <c:w val="0.91522009542951699"/>
          <c:h val="0.6058566637503644"/>
        </c:manualLayout>
      </c:layout>
      <c:barChart>
        <c:barDir val="col"/>
        <c:grouping val="stacked"/>
        <c:varyColors val="0"/>
        <c:ser>
          <c:idx val="0"/>
          <c:order val="0"/>
          <c:tx>
            <c:strRef>
              <c:f>'MATCHES WON'!$B$3:$B$4</c:f>
              <c:strCache>
                <c:ptCount val="1"/>
                <c:pt idx="0">
                  <c:v>bat</c:v>
                </c:pt>
              </c:strCache>
            </c:strRef>
          </c:tx>
          <c:spPr>
            <a:solidFill>
              <a:srgbClr val="1B2A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WON'!$B$5:$B$15</c:f>
              <c:numCache>
                <c:formatCode>General</c:formatCode>
                <c:ptCount val="10"/>
                <c:pt idx="0">
                  <c:v>2</c:v>
                </c:pt>
                <c:pt idx="1">
                  <c:v>1</c:v>
                </c:pt>
                <c:pt idx="2">
                  <c:v>1</c:v>
                </c:pt>
                <c:pt idx="3">
                  <c:v>2</c:v>
                </c:pt>
                <c:pt idx="6">
                  <c:v>1</c:v>
                </c:pt>
                <c:pt idx="7">
                  <c:v>1</c:v>
                </c:pt>
                <c:pt idx="9">
                  <c:v>2</c:v>
                </c:pt>
              </c:numCache>
            </c:numRef>
          </c:val>
          <c:extLst>
            <c:ext xmlns:c16="http://schemas.microsoft.com/office/drawing/2014/chart" uri="{C3380CC4-5D6E-409C-BE32-E72D297353CC}">
              <c16:uniqueId val="{00000000-3843-4CA7-83BF-DBA3286CF4EC}"/>
            </c:ext>
          </c:extLst>
        </c:ser>
        <c:ser>
          <c:idx val="1"/>
          <c:order val="1"/>
          <c:tx>
            <c:strRef>
              <c:f>'MATCHES WON'!$C$3:$C$4</c:f>
              <c:strCache>
                <c:ptCount val="1"/>
                <c:pt idx="0">
                  <c:v>field</c:v>
                </c:pt>
              </c:strCache>
            </c:strRef>
          </c:tx>
          <c:spPr>
            <a:solidFill>
              <a:srgbClr val="F5A6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WON'!$C$5:$C$15</c:f>
              <c:numCache>
                <c:formatCode>General</c:formatCode>
                <c:ptCount val="10"/>
                <c:pt idx="0">
                  <c:v>4</c:v>
                </c:pt>
                <c:pt idx="1">
                  <c:v>5</c:v>
                </c:pt>
                <c:pt idx="2">
                  <c:v>8</c:v>
                </c:pt>
                <c:pt idx="3">
                  <c:v>3</c:v>
                </c:pt>
                <c:pt idx="4">
                  <c:v>4</c:v>
                </c:pt>
                <c:pt idx="5">
                  <c:v>4</c:v>
                </c:pt>
                <c:pt idx="6">
                  <c:v>5</c:v>
                </c:pt>
                <c:pt idx="7">
                  <c:v>6</c:v>
                </c:pt>
                <c:pt idx="8">
                  <c:v>9</c:v>
                </c:pt>
                <c:pt idx="9">
                  <c:v>6</c:v>
                </c:pt>
              </c:numCache>
            </c:numRef>
          </c:val>
          <c:extLst>
            <c:ext xmlns:c16="http://schemas.microsoft.com/office/drawing/2014/chart" uri="{C3380CC4-5D6E-409C-BE32-E72D297353CC}">
              <c16:uniqueId val="{00000001-3843-4CA7-83BF-DBA3286CF4EC}"/>
            </c:ext>
          </c:extLst>
        </c:ser>
        <c:dLbls>
          <c:dLblPos val="ctr"/>
          <c:showLegendKey val="0"/>
          <c:showVal val="1"/>
          <c:showCatName val="0"/>
          <c:showSerName val="0"/>
          <c:showPercent val="0"/>
          <c:showBubbleSize val="0"/>
        </c:dLbls>
        <c:gapWidth val="80"/>
        <c:overlap val="100"/>
        <c:axId val="419327023"/>
        <c:axId val="1741514335"/>
      </c:barChart>
      <c:catAx>
        <c:axId val="41932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41514335"/>
        <c:crosses val="autoZero"/>
        <c:auto val="1"/>
        <c:lblAlgn val="ctr"/>
        <c:lblOffset val="100"/>
        <c:noMultiLvlLbl val="0"/>
      </c:catAx>
      <c:valAx>
        <c:axId val="1741514335"/>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Matches</a:t>
                </a:r>
                <a:r>
                  <a:rPr lang="en-US" sz="1200" baseline="0"/>
                  <a:t> won</a:t>
                </a:r>
                <a:endParaRPr lang="en-US"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27023"/>
        <c:crosses val="autoZero"/>
        <c:crossBetween val="between"/>
      </c:valAx>
      <c:spPr>
        <a:noFill/>
        <a:ln>
          <a:noFill/>
        </a:ln>
        <a:effectLst/>
      </c:spPr>
    </c:plotArea>
    <c:legend>
      <c:legendPos val="r"/>
      <c:layout>
        <c:manualLayout>
          <c:xMode val="edge"/>
          <c:yMode val="edge"/>
          <c:x val="0.87455920523772168"/>
          <c:y val="8.8749270924467785E-2"/>
          <c:w val="0.12544079476227835"/>
          <c:h val="0.1562510936132983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(1).xlsx]TOSS BASED WINS!PivotTable2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TOSSED BASED WIN</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B2A4A"/>
          </a:solidFill>
          <a:ln w="19050">
            <a:solidFill>
              <a:schemeClr val="lt1"/>
            </a:solidFill>
          </a:ln>
          <a:effectLst/>
        </c:spPr>
      </c:pivotFmt>
      <c:pivotFmt>
        <c:idx val="6"/>
        <c:spPr>
          <a:solidFill>
            <a:srgbClr val="F5A623"/>
          </a:solidFill>
          <a:ln w="19050">
            <a:solidFill>
              <a:schemeClr val="lt1"/>
            </a:solidFill>
          </a:ln>
          <a:effectLst/>
        </c:spPr>
      </c:pivotFmt>
    </c:pivotFmts>
    <c:plotArea>
      <c:layout>
        <c:manualLayout>
          <c:layoutTarget val="inner"/>
          <c:xMode val="edge"/>
          <c:yMode val="edge"/>
          <c:x val="0.18634512227211464"/>
          <c:y val="0.14246699524530082"/>
          <c:w val="0.63844146777655175"/>
          <c:h val="0.66713519263361198"/>
        </c:manualLayout>
      </c:layout>
      <c:doughnutChart>
        <c:varyColors val="1"/>
        <c:ser>
          <c:idx val="0"/>
          <c:order val="0"/>
          <c:tx>
            <c:strRef>
              <c:f>'TOSS BASED WINS'!$B$3</c:f>
              <c:strCache>
                <c:ptCount val="1"/>
                <c:pt idx="0">
                  <c:v>Total</c:v>
                </c:pt>
              </c:strCache>
            </c:strRef>
          </c:tx>
          <c:dPt>
            <c:idx val="0"/>
            <c:bubble3D val="0"/>
            <c:spPr>
              <a:solidFill>
                <a:srgbClr val="1B2A4A"/>
              </a:solidFill>
              <a:ln w="19050">
                <a:solidFill>
                  <a:schemeClr val="lt1"/>
                </a:solidFill>
              </a:ln>
              <a:effectLst/>
            </c:spPr>
            <c:extLst>
              <c:ext xmlns:c16="http://schemas.microsoft.com/office/drawing/2014/chart" uri="{C3380CC4-5D6E-409C-BE32-E72D297353CC}">
                <c16:uniqueId val="{00000001-1474-4116-9F5F-19B278F65D9A}"/>
              </c:ext>
            </c:extLst>
          </c:dPt>
          <c:dPt>
            <c:idx val="1"/>
            <c:bubble3D val="0"/>
            <c:spPr>
              <a:solidFill>
                <a:srgbClr val="F5A623"/>
              </a:solidFill>
              <a:ln w="19050">
                <a:solidFill>
                  <a:schemeClr val="lt1"/>
                </a:solidFill>
              </a:ln>
              <a:effectLst/>
            </c:spPr>
            <c:extLst>
              <c:ext xmlns:c16="http://schemas.microsoft.com/office/drawing/2014/chart" uri="{C3380CC4-5D6E-409C-BE32-E72D297353CC}">
                <c16:uniqueId val="{00000003-1474-4116-9F5F-19B278F65D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WINS'!$A$4:$A$6</c:f>
              <c:strCache>
                <c:ptCount val="2"/>
                <c:pt idx="0">
                  <c:v>bat</c:v>
                </c:pt>
                <c:pt idx="1">
                  <c:v>field</c:v>
                </c:pt>
              </c:strCache>
            </c:strRef>
          </c:cat>
          <c:val>
            <c:numRef>
              <c:f>'TOSS BASED WINS'!$B$4:$B$6</c:f>
              <c:numCache>
                <c:formatCode>0.00%</c:formatCode>
                <c:ptCount val="2"/>
                <c:pt idx="0">
                  <c:v>0.16666666666666666</c:v>
                </c:pt>
                <c:pt idx="1">
                  <c:v>0.83333333333333337</c:v>
                </c:pt>
              </c:numCache>
            </c:numRef>
          </c:val>
          <c:extLst>
            <c:ext xmlns:c16="http://schemas.microsoft.com/office/drawing/2014/chart" uri="{C3380CC4-5D6E-409C-BE32-E72D297353CC}">
              <c16:uniqueId val="{00000004-1474-4116-9F5F-19B278F65D9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4775998627380056"/>
          <c:y val="0.86652704870224551"/>
          <c:w val="0.29697767447743728"/>
          <c:h val="0.1331029454651501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(1).xlsx]TOP 10 VENUES!PivotTable3</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TOP 10 VENUES WITH MOST MATCHES &amp; WINS BASED ON BAT FIRST OR BALL FIRST</a:t>
            </a:r>
          </a:p>
        </c:rich>
      </c:tx>
      <c:layout>
        <c:manualLayout>
          <c:xMode val="edge"/>
          <c:yMode val="edge"/>
          <c:x val="0.11521680509114443"/>
          <c:y val="1.4632718759145449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B2A4A"/>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A623"/>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rgbClr val="1B2A4A"/>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Maharaja Yadavindra Singh International Cricket Stadium, New Chandigarh</c:v>
                </c:pt>
                <c:pt idx="2">
                  <c:v>M Chinnaswamy Stadium, Bengaluru</c:v>
                </c:pt>
                <c:pt idx="3">
                  <c:v>Bharat Ratna Shri Atal Bihari Vajpayee Ekana Cricket Stadium, Lucknow</c:v>
                </c:pt>
                <c:pt idx="4">
                  <c:v>Rajiv Gandhi International Stadium, Uppal, Hyderabad</c:v>
                </c:pt>
                <c:pt idx="5">
                  <c:v>Wankhede Stadium, Mumbai</c:v>
                </c:pt>
                <c:pt idx="6">
                  <c:v>Eden Gardens, Kolkata</c:v>
                </c:pt>
                <c:pt idx="7">
                  <c:v>MA Chidambaram Stadium, Chepauk, Chennai</c:v>
                </c:pt>
                <c:pt idx="8">
                  <c:v>Narendra Modi Stadium, Ahmedabad</c:v>
                </c:pt>
                <c:pt idx="9">
                  <c:v>Arun Jaitley Stadium, Delhi</c:v>
                </c:pt>
              </c:strCache>
            </c:strRef>
          </c:cat>
          <c:val>
            <c:numRef>
              <c:f>'TOP 10 VENUES'!$B$5:$B$15</c:f>
              <c:numCache>
                <c:formatCode>General</c:formatCode>
                <c:ptCount val="10"/>
                <c:pt idx="0">
                  <c:v>1</c:v>
                </c:pt>
                <c:pt idx="4">
                  <c:v>1</c:v>
                </c:pt>
                <c:pt idx="5">
                  <c:v>1</c:v>
                </c:pt>
                <c:pt idx="6">
                  <c:v>2</c:v>
                </c:pt>
                <c:pt idx="7">
                  <c:v>2</c:v>
                </c:pt>
                <c:pt idx="8">
                  <c:v>2</c:v>
                </c:pt>
                <c:pt idx="9">
                  <c:v>2</c:v>
                </c:pt>
              </c:numCache>
            </c:numRef>
          </c:val>
          <c:extLst>
            <c:ext xmlns:c16="http://schemas.microsoft.com/office/drawing/2014/chart" uri="{C3380CC4-5D6E-409C-BE32-E72D297353CC}">
              <c16:uniqueId val="{00000000-FB01-4D16-A3B8-6FA80D087009}"/>
            </c:ext>
          </c:extLst>
        </c:ser>
        <c:ser>
          <c:idx val="1"/>
          <c:order val="1"/>
          <c:tx>
            <c:strRef>
              <c:f>'TOP 10 VENUES'!$C$3:$C$4</c:f>
              <c:strCache>
                <c:ptCount val="1"/>
                <c:pt idx="0">
                  <c:v>field</c:v>
                </c:pt>
              </c:strCache>
            </c:strRef>
          </c:tx>
          <c:spPr>
            <a:solidFill>
              <a:srgbClr val="F5A623"/>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Maharaja Yadavindra Singh International Cricket Stadium, New Chandigarh</c:v>
                </c:pt>
                <c:pt idx="2">
                  <c:v>M Chinnaswamy Stadium, Bengaluru</c:v>
                </c:pt>
                <c:pt idx="3">
                  <c:v>Bharat Ratna Shri Atal Bihari Vajpayee Ekana Cricket Stadium, Lucknow</c:v>
                </c:pt>
                <c:pt idx="4">
                  <c:v>Rajiv Gandhi International Stadium, Uppal, Hyderabad</c:v>
                </c:pt>
                <c:pt idx="5">
                  <c:v>Wankhede Stadium, Mumbai</c:v>
                </c:pt>
                <c:pt idx="6">
                  <c:v>Eden Gardens, Kolkata</c:v>
                </c:pt>
                <c:pt idx="7">
                  <c:v>MA Chidambaram Stadium, Chepauk, Chennai</c:v>
                </c:pt>
                <c:pt idx="8">
                  <c:v>Narendra Modi Stadium, Ahmedabad</c:v>
                </c:pt>
                <c:pt idx="9">
                  <c:v>Arun Jaitley Stadium, Delhi</c:v>
                </c:pt>
              </c:strCache>
            </c:strRef>
          </c:cat>
          <c:val>
            <c:numRef>
              <c:f>'TOP 10 VENUES'!$C$5:$C$15</c:f>
              <c:numCache>
                <c:formatCode>General</c:formatCode>
                <c:ptCount val="10"/>
                <c:pt idx="0">
                  <c:v>3</c:v>
                </c:pt>
                <c:pt idx="1">
                  <c:v>4</c:v>
                </c:pt>
                <c:pt idx="2">
                  <c:v>5</c:v>
                </c:pt>
                <c:pt idx="3">
                  <c:v>6</c:v>
                </c:pt>
                <c:pt idx="4">
                  <c:v>5</c:v>
                </c:pt>
                <c:pt idx="5">
                  <c:v>5</c:v>
                </c:pt>
                <c:pt idx="6">
                  <c:v>4</c:v>
                </c:pt>
                <c:pt idx="7">
                  <c:v>5</c:v>
                </c:pt>
                <c:pt idx="8">
                  <c:v>5</c:v>
                </c:pt>
                <c:pt idx="9">
                  <c:v>5</c:v>
                </c:pt>
              </c:numCache>
            </c:numRef>
          </c:val>
          <c:extLst>
            <c:ext xmlns:c16="http://schemas.microsoft.com/office/drawing/2014/chart" uri="{C3380CC4-5D6E-409C-BE32-E72D297353CC}">
              <c16:uniqueId val="{00000001-FB01-4D16-A3B8-6FA80D087009}"/>
            </c:ext>
          </c:extLst>
        </c:ser>
        <c:dLbls>
          <c:dLblPos val="ctr"/>
          <c:showLegendKey val="0"/>
          <c:showVal val="1"/>
          <c:showCatName val="0"/>
          <c:showSerName val="0"/>
          <c:showPercent val="0"/>
          <c:showBubbleSize val="0"/>
        </c:dLbls>
        <c:gapWidth val="150"/>
        <c:overlap val="100"/>
        <c:axId val="322957151"/>
        <c:axId val="1874076303"/>
      </c:barChart>
      <c:catAx>
        <c:axId val="32295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74076303"/>
        <c:crosses val="autoZero"/>
        <c:auto val="1"/>
        <c:lblAlgn val="ctr"/>
        <c:lblOffset val="100"/>
        <c:noMultiLvlLbl val="0"/>
      </c:catAx>
      <c:valAx>
        <c:axId val="187407630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No. of matches</a:t>
                </a:r>
              </a:p>
            </c:rich>
          </c:tx>
          <c:layout>
            <c:manualLayout>
              <c:xMode val="edge"/>
              <c:yMode val="edge"/>
              <c:x val="0.39010791378805776"/>
              <c:y val="0.9518913695113545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22957151"/>
        <c:crosses val="autoZero"/>
        <c:crossBetween val="between"/>
      </c:valAx>
      <c:spPr>
        <a:noFill/>
        <a:ln>
          <a:noFill/>
        </a:ln>
        <a:effectLst/>
      </c:spPr>
    </c:plotArea>
    <c:legend>
      <c:legendPos val="r"/>
      <c:layout>
        <c:manualLayout>
          <c:xMode val="edge"/>
          <c:yMode val="edge"/>
          <c:x val="0.7703500161794844"/>
          <c:y val="0.12620685364285564"/>
          <c:w val="0.1702892532269083"/>
          <c:h val="9.8771542933779474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TOP 10 PLAYERS WITH MOST POTM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844780990806494E-2"/>
          <c:y val="0.16505002881305392"/>
          <c:w val="0.84764513561863353"/>
          <c:h val="0.70083627527877135"/>
        </c:manualLayout>
      </c:layout>
      <c:barChart>
        <c:barDir val="col"/>
        <c:grouping val="clustered"/>
        <c:varyColors val="0"/>
        <c:ser>
          <c:idx val="0"/>
          <c:order val="0"/>
          <c:tx>
            <c:strRef>
              <c:f>POTM!$F$9</c:f>
              <c:strCache>
                <c:ptCount val="1"/>
                <c:pt idx="0">
                  <c:v>POTM WON</c:v>
                </c:pt>
              </c:strCache>
            </c:strRef>
          </c:tx>
          <c:spPr>
            <a:solidFill>
              <a:srgbClr val="1B2A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POTM!$E$10:$E$19</c:f>
              <c:strCache>
                <c:ptCount val="10"/>
                <c:pt idx="0">
                  <c:v>SV Samson</c:v>
                </c:pt>
                <c:pt idx="1">
                  <c:v>V Suryavanshi</c:v>
                </c:pt>
                <c:pt idx="2">
                  <c:v>Rashid Khan</c:v>
                </c:pt>
                <c:pt idx="3">
                  <c:v>CV Varun</c:v>
                </c:pt>
                <c:pt idx="4">
                  <c:v>V Kohli</c:v>
                </c:pt>
                <c:pt idx="5">
                  <c:v>Ishan Kishan</c:v>
                </c:pt>
                <c:pt idx="6">
                  <c:v>Priyansh Arya</c:v>
                </c:pt>
                <c:pt idx="7">
                  <c:v>JO Holder</c:v>
                </c:pt>
                <c:pt idx="8">
                  <c:v>Sameer Rizvi</c:v>
                </c:pt>
                <c:pt idx="9">
                  <c:v>JR Hazlewood</c:v>
                </c:pt>
              </c:strCache>
            </c:strRef>
          </c:cat>
          <c:val>
            <c:numRef>
              <c:f>POTM!$F$10:$F$19</c:f>
              <c:numCache>
                <c:formatCode>General</c:formatCode>
                <c:ptCount val="10"/>
                <c:pt idx="0">
                  <c:v>3</c:v>
                </c:pt>
                <c:pt idx="1">
                  <c:v>2</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339C-47A4-B584-9C1DB984044B}"/>
            </c:ext>
          </c:extLst>
        </c:ser>
        <c:dLbls>
          <c:dLblPos val="inEnd"/>
          <c:showLegendKey val="0"/>
          <c:showVal val="1"/>
          <c:showCatName val="0"/>
          <c:showSerName val="0"/>
          <c:showPercent val="0"/>
          <c:showBubbleSize val="0"/>
        </c:dLbls>
        <c:gapWidth val="100"/>
        <c:overlap val="-27"/>
        <c:axId val="1820909615"/>
        <c:axId val="1820914415"/>
      </c:barChart>
      <c:catAx>
        <c:axId val="182090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14415"/>
        <c:crosses val="autoZero"/>
        <c:auto val="1"/>
        <c:lblAlgn val="ctr"/>
        <c:lblOffset val="100"/>
        <c:noMultiLvlLbl val="0"/>
      </c:catAx>
      <c:valAx>
        <c:axId val="1820914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times</a:t>
                </a:r>
                <a:r>
                  <a:rPr lang="en-US" baseline="0"/>
                  <a:t> POTM winner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09615"/>
        <c:crosses val="autoZero"/>
        <c:crossBetween val="between"/>
      </c:valAx>
      <c:spPr>
        <a:noFill/>
        <a:ln>
          <a:noFill/>
        </a:ln>
        <a:effectLst/>
      </c:spPr>
    </c:plotArea>
    <c:legend>
      <c:legendPos val="r"/>
      <c:layout>
        <c:manualLayout>
          <c:xMode val="edge"/>
          <c:yMode val="edge"/>
          <c:x val="0.86621797783627064"/>
          <c:y val="0.19500352847661775"/>
          <c:w val="0.10302738781122339"/>
          <c:h val="7.1112351092558188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(1).xlsx]MATCHES WON!PivotTable1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WON BY TEAM wrt</a:t>
            </a:r>
            <a:r>
              <a:rPr lang="en-US" baseline="0"/>
              <a:t> TOSS DECISION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52925680721745E-2"/>
          <c:y val="0.15319444444444447"/>
          <c:w val="0.91522009542951699"/>
          <c:h val="0.6058566637503644"/>
        </c:manualLayout>
      </c:layout>
      <c:barChart>
        <c:barDir val="col"/>
        <c:grouping val="stacked"/>
        <c:varyColors val="0"/>
        <c:ser>
          <c:idx val="0"/>
          <c:order val="0"/>
          <c:tx>
            <c:strRef>
              <c:f>'MATCHES WON'!$B$3:$B$4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WON'!$B$5:$B$15</c:f>
              <c:numCache>
                <c:formatCode>General</c:formatCode>
                <c:ptCount val="10"/>
                <c:pt idx="0">
                  <c:v>2</c:v>
                </c:pt>
                <c:pt idx="1">
                  <c:v>1</c:v>
                </c:pt>
                <c:pt idx="2">
                  <c:v>1</c:v>
                </c:pt>
                <c:pt idx="3">
                  <c:v>2</c:v>
                </c:pt>
                <c:pt idx="6">
                  <c:v>1</c:v>
                </c:pt>
                <c:pt idx="7">
                  <c:v>1</c:v>
                </c:pt>
                <c:pt idx="9">
                  <c:v>2</c:v>
                </c:pt>
              </c:numCache>
            </c:numRef>
          </c:val>
          <c:extLst>
            <c:ext xmlns:c16="http://schemas.microsoft.com/office/drawing/2014/chart" uri="{C3380CC4-5D6E-409C-BE32-E72D297353CC}">
              <c16:uniqueId val="{00000000-EE53-4583-8E2F-9D1D60F92DAC}"/>
            </c:ext>
          </c:extLst>
        </c:ser>
        <c:ser>
          <c:idx val="1"/>
          <c:order val="1"/>
          <c:tx>
            <c:strRef>
              <c:f>'MATCHES WON'!$C$3:$C$4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WON'!$A$5:$A$15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'MATCHES WON'!$C$5:$C$15</c:f>
              <c:numCache>
                <c:formatCode>General</c:formatCode>
                <c:ptCount val="10"/>
                <c:pt idx="0">
                  <c:v>4</c:v>
                </c:pt>
                <c:pt idx="1">
                  <c:v>5</c:v>
                </c:pt>
                <c:pt idx="2">
                  <c:v>8</c:v>
                </c:pt>
                <c:pt idx="3">
                  <c:v>3</c:v>
                </c:pt>
                <c:pt idx="4">
                  <c:v>4</c:v>
                </c:pt>
                <c:pt idx="5">
                  <c:v>4</c:v>
                </c:pt>
                <c:pt idx="6">
                  <c:v>5</c:v>
                </c:pt>
                <c:pt idx="7">
                  <c:v>6</c:v>
                </c:pt>
                <c:pt idx="8">
                  <c:v>9</c:v>
                </c:pt>
                <c:pt idx="9">
                  <c:v>6</c:v>
                </c:pt>
              </c:numCache>
            </c:numRef>
          </c:val>
          <c:extLst>
            <c:ext xmlns:c16="http://schemas.microsoft.com/office/drawing/2014/chart" uri="{C3380CC4-5D6E-409C-BE32-E72D297353CC}">
              <c16:uniqueId val="{00000001-EE53-4583-8E2F-9D1D60F92DAC}"/>
            </c:ext>
          </c:extLst>
        </c:ser>
        <c:dLbls>
          <c:dLblPos val="ctr"/>
          <c:showLegendKey val="0"/>
          <c:showVal val="1"/>
          <c:showCatName val="0"/>
          <c:showSerName val="0"/>
          <c:showPercent val="0"/>
          <c:showBubbleSize val="0"/>
        </c:dLbls>
        <c:gapWidth val="80"/>
        <c:overlap val="100"/>
        <c:axId val="419327023"/>
        <c:axId val="1741514335"/>
      </c:barChart>
      <c:catAx>
        <c:axId val="41932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lumMod val="65000"/>
                    <a:lumOff val="35000"/>
                  </a:schemeClr>
                </a:solidFill>
                <a:latin typeface="+mn-lt"/>
                <a:ea typeface="+mn-ea"/>
                <a:cs typeface="+mn-cs"/>
              </a:defRPr>
            </a:pPr>
            <a:endParaRPr lang="en-US"/>
          </a:p>
        </c:txPr>
        <c:crossAx val="1741514335"/>
        <c:crosses val="autoZero"/>
        <c:auto val="1"/>
        <c:lblAlgn val="ctr"/>
        <c:lblOffset val="100"/>
        <c:noMultiLvlLbl val="0"/>
      </c:catAx>
      <c:valAx>
        <c:axId val="1741514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Matches</a:t>
                </a:r>
                <a:r>
                  <a:rPr lang="en-US" baseline="0"/>
                  <a:t> won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27023"/>
        <c:crosses val="autoZero"/>
        <c:crossBetween val="between"/>
      </c:valAx>
      <c:spPr>
        <a:noFill/>
        <a:ln>
          <a:noFill/>
        </a:ln>
        <a:effectLst/>
      </c:spPr>
    </c:plotArea>
    <c:legend>
      <c:legendPos val="r"/>
      <c:layout>
        <c:manualLayout>
          <c:xMode val="edge"/>
          <c:yMode val="edge"/>
          <c:x val="0.87455920523772168"/>
          <c:y val="8.8749270924467785E-2"/>
          <c:w val="0.1254407947622783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(1).xlsx]TOSS BASED WINS!PivotTable2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TOSSED BASED WIN</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3580754634969994"/>
          <c:y val="0.16184893554972296"/>
          <c:w val="0.52715114432352006"/>
          <c:h val="0.68968941382327209"/>
        </c:manualLayout>
      </c:layout>
      <c:doughnutChart>
        <c:varyColors val="1"/>
        <c:ser>
          <c:idx val="0"/>
          <c:order val="0"/>
          <c:tx>
            <c:strRef>
              <c:f>'TOSS BASED WINS'!$B$3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E1-CF4A-83BC-DD70926ECE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E1-CF4A-83BC-DD70926ECE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WINS'!$A$4:$A$6</c:f>
              <c:strCache>
                <c:ptCount val="2"/>
                <c:pt idx="0">
                  <c:v>bat</c:v>
                </c:pt>
                <c:pt idx="1">
                  <c:v>field</c:v>
                </c:pt>
              </c:strCache>
            </c:strRef>
          </c:cat>
          <c:val>
            <c:numRef>
              <c:f>'TOSS BASED WINS'!$B$4:$B$6</c:f>
              <c:numCache>
                <c:formatCode>0.00%</c:formatCode>
                <c:ptCount val="2"/>
                <c:pt idx="0">
                  <c:v>0.16666666666666666</c:v>
                </c:pt>
                <c:pt idx="1">
                  <c:v>0.83333333333333337</c:v>
                </c:pt>
              </c:numCache>
            </c:numRef>
          </c:val>
          <c:extLst>
            <c:ext xmlns:c16="http://schemas.microsoft.com/office/drawing/2014/chart" uri="{C3380CC4-5D6E-409C-BE32-E72D297353CC}">
              <c16:uniqueId val="{00000000-AE87-432B-A4C1-7A0F7A3A4C5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34775998627380056"/>
          <c:y val="0.86652704870224551"/>
          <c:w val="0.29697767447743728"/>
          <c:h val="0.13310294546515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(1).xlsx]TOP 10 VENUES!PivotTable3</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10 VENUES WITH MOST MATCHES &amp; WINS BASED ON BAT FIRST OR BALL FIRST</a:t>
            </a:r>
            <a:endParaRPr lang="en-US" sz="1200" b="1"/>
          </a:p>
        </c:rich>
      </c:tx>
      <c:layout>
        <c:manualLayout>
          <c:xMode val="edge"/>
          <c:yMode val="edge"/>
          <c:x val="0.11521680509114443"/>
          <c:y val="1.463271875914544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Maharaja Yadavindra Singh International Cricket Stadium, New Chandigarh</c:v>
                </c:pt>
                <c:pt idx="2">
                  <c:v>M Chinnaswamy Stadium, Bengaluru</c:v>
                </c:pt>
                <c:pt idx="3">
                  <c:v>Bharat Ratna Shri Atal Bihari Vajpayee Ekana Cricket Stadium, Lucknow</c:v>
                </c:pt>
                <c:pt idx="4">
                  <c:v>Rajiv Gandhi International Stadium, Uppal, Hyderabad</c:v>
                </c:pt>
                <c:pt idx="5">
                  <c:v>Wankhede Stadium, Mumbai</c:v>
                </c:pt>
                <c:pt idx="6">
                  <c:v>Eden Gardens, Kolkata</c:v>
                </c:pt>
                <c:pt idx="7">
                  <c:v>MA Chidambaram Stadium, Chepauk, Chennai</c:v>
                </c:pt>
                <c:pt idx="8">
                  <c:v>Narendra Modi Stadium, Ahmedabad</c:v>
                </c:pt>
                <c:pt idx="9">
                  <c:v>Arun Jaitley Stadium, Delhi</c:v>
                </c:pt>
              </c:strCache>
            </c:strRef>
          </c:cat>
          <c:val>
            <c:numRef>
              <c:f>'TOP 10 VENUES'!$B$5:$B$15</c:f>
              <c:numCache>
                <c:formatCode>General</c:formatCode>
                <c:ptCount val="10"/>
                <c:pt idx="0">
                  <c:v>1</c:v>
                </c:pt>
                <c:pt idx="4">
                  <c:v>1</c:v>
                </c:pt>
                <c:pt idx="5">
                  <c:v>1</c:v>
                </c:pt>
                <c:pt idx="6">
                  <c:v>2</c:v>
                </c:pt>
                <c:pt idx="7">
                  <c:v>2</c:v>
                </c:pt>
                <c:pt idx="8">
                  <c:v>2</c:v>
                </c:pt>
                <c:pt idx="9">
                  <c:v>2</c:v>
                </c:pt>
              </c:numCache>
            </c:numRef>
          </c:val>
          <c:extLst>
            <c:ext xmlns:c16="http://schemas.microsoft.com/office/drawing/2014/chart" uri="{C3380CC4-5D6E-409C-BE32-E72D297353CC}">
              <c16:uniqueId val="{00000000-818B-41F3-81F6-354C23D335E0}"/>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Sawai Mansingh Stadium, Jaipur</c:v>
                </c:pt>
                <c:pt idx="1">
                  <c:v>Maharaja Yadavindra Singh International Cricket Stadium, New Chandigarh</c:v>
                </c:pt>
                <c:pt idx="2">
                  <c:v>M Chinnaswamy Stadium, Bengaluru</c:v>
                </c:pt>
                <c:pt idx="3">
                  <c:v>Bharat Ratna Shri Atal Bihari Vajpayee Ekana Cricket Stadium, Lucknow</c:v>
                </c:pt>
                <c:pt idx="4">
                  <c:v>Rajiv Gandhi International Stadium, Uppal, Hyderabad</c:v>
                </c:pt>
                <c:pt idx="5">
                  <c:v>Wankhede Stadium, Mumbai</c:v>
                </c:pt>
                <c:pt idx="6">
                  <c:v>Eden Gardens, Kolkata</c:v>
                </c:pt>
                <c:pt idx="7">
                  <c:v>MA Chidambaram Stadium, Chepauk, Chennai</c:v>
                </c:pt>
                <c:pt idx="8">
                  <c:v>Narendra Modi Stadium, Ahmedabad</c:v>
                </c:pt>
                <c:pt idx="9">
                  <c:v>Arun Jaitley Stadium, Delhi</c:v>
                </c:pt>
              </c:strCache>
            </c:strRef>
          </c:cat>
          <c:val>
            <c:numRef>
              <c:f>'TOP 10 VENUES'!$C$5:$C$15</c:f>
              <c:numCache>
                <c:formatCode>General</c:formatCode>
                <c:ptCount val="10"/>
                <c:pt idx="0">
                  <c:v>3</c:v>
                </c:pt>
                <c:pt idx="1">
                  <c:v>4</c:v>
                </c:pt>
                <c:pt idx="2">
                  <c:v>5</c:v>
                </c:pt>
                <c:pt idx="3">
                  <c:v>6</c:v>
                </c:pt>
                <c:pt idx="4">
                  <c:v>5</c:v>
                </c:pt>
                <c:pt idx="5">
                  <c:v>5</c:v>
                </c:pt>
                <c:pt idx="6">
                  <c:v>4</c:v>
                </c:pt>
                <c:pt idx="7">
                  <c:v>5</c:v>
                </c:pt>
                <c:pt idx="8">
                  <c:v>5</c:v>
                </c:pt>
                <c:pt idx="9">
                  <c:v>5</c:v>
                </c:pt>
              </c:numCache>
            </c:numRef>
          </c:val>
          <c:extLst>
            <c:ext xmlns:c16="http://schemas.microsoft.com/office/drawing/2014/chart" uri="{C3380CC4-5D6E-409C-BE32-E72D297353CC}">
              <c16:uniqueId val="{00000001-818B-41F3-81F6-354C23D335E0}"/>
            </c:ext>
          </c:extLst>
        </c:ser>
        <c:dLbls>
          <c:dLblPos val="ctr"/>
          <c:showLegendKey val="0"/>
          <c:showVal val="1"/>
          <c:showCatName val="0"/>
          <c:showSerName val="0"/>
          <c:showPercent val="0"/>
          <c:showBubbleSize val="0"/>
        </c:dLbls>
        <c:gapWidth val="150"/>
        <c:overlap val="100"/>
        <c:axId val="322957151"/>
        <c:axId val="1874076303"/>
      </c:barChart>
      <c:catAx>
        <c:axId val="32295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76303"/>
        <c:crosses val="autoZero"/>
        <c:auto val="1"/>
        <c:lblAlgn val="ctr"/>
        <c:lblOffset val="100"/>
        <c:noMultiLvlLbl val="0"/>
      </c:catAx>
      <c:valAx>
        <c:axId val="1874076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57151"/>
        <c:crosses val="autoZero"/>
        <c:crossBetween val="between"/>
      </c:valAx>
      <c:spPr>
        <a:noFill/>
        <a:ln>
          <a:noFill/>
        </a:ln>
        <a:effectLst/>
      </c:spPr>
    </c:plotArea>
    <c:legend>
      <c:legendPos val="r"/>
      <c:layout>
        <c:manualLayout>
          <c:xMode val="edge"/>
          <c:yMode val="edge"/>
          <c:x val="0.7703500161794844"/>
          <c:y val="0.12620685364285564"/>
          <c:w val="0.1702892532269083"/>
          <c:h val="9.877154293377947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POTM!$F$9</c:f>
              <c:strCache>
                <c:ptCount val="1"/>
                <c:pt idx="0">
                  <c:v>POTM WON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POTM!$E$10:$E$19</c:f>
              <c:strCache>
                <c:ptCount val="10"/>
                <c:pt idx="0">
                  <c:v>SV Samson</c:v>
                </c:pt>
                <c:pt idx="1">
                  <c:v>V Suryavanshi</c:v>
                </c:pt>
                <c:pt idx="2">
                  <c:v>Rashid Khan</c:v>
                </c:pt>
                <c:pt idx="3">
                  <c:v>CV Varun</c:v>
                </c:pt>
                <c:pt idx="4">
                  <c:v>V Kohli</c:v>
                </c:pt>
                <c:pt idx="5">
                  <c:v>Ishan Kishan</c:v>
                </c:pt>
                <c:pt idx="6">
                  <c:v>Priyansh Arya</c:v>
                </c:pt>
                <c:pt idx="7">
                  <c:v>JO Holder</c:v>
                </c:pt>
                <c:pt idx="8">
                  <c:v>Sameer Rizvi</c:v>
                </c:pt>
                <c:pt idx="9">
                  <c:v>JR Hazlewood</c:v>
                </c:pt>
              </c:strCache>
            </c:strRef>
          </c:cat>
          <c:val>
            <c:numRef>
              <c:f>POTM!$F$10:$F$19</c:f>
              <c:numCache>
                <c:formatCode>General</c:formatCode>
                <c:ptCount val="10"/>
                <c:pt idx="0">
                  <c:v>3</c:v>
                </c:pt>
                <c:pt idx="1">
                  <c:v>2</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FE0B-4FAE-804A-E9A58CCA62E7}"/>
            </c:ext>
          </c:extLst>
        </c:ser>
        <c:dLbls>
          <c:dLblPos val="inEnd"/>
          <c:showLegendKey val="0"/>
          <c:showVal val="1"/>
          <c:showCatName val="0"/>
          <c:showSerName val="0"/>
          <c:showPercent val="0"/>
          <c:showBubbleSize val="0"/>
        </c:dLbls>
        <c:gapWidth val="100"/>
        <c:overlap val="-27"/>
        <c:axId val="1820909615"/>
        <c:axId val="1820914415"/>
      </c:barChart>
      <c:catAx>
        <c:axId val="182090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14415"/>
        <c:crosses val="autoZero"/>
        <c:auto val="1"/>
        <c:lblAlgn val="ctr"/>
        <c:lblOffset val="100"/>
        <c:noMultiLvlLbl val="0"/>
      </c:catAx>
      <c:valAx>
        <c:axId val="18209144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times</a:t>
                </a:r>
                <a:r>
                  <a:rPr lang="en-US" baseline="0"/>
                  <a:t> POTM winner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0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TITLE WINNERS</a:t>
          </a:r>
        </a:p>
      </cx:txPr>
    </cx:title>
    <cx:plotArea>
      <cx:plotAreaRegion>
        <cx:series layoutId="treemap" uniqueId="{00000000-6F84-449A-8A73-EE572DBD053C}">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Aptos Narrow" panose="02110004020202020204"/>
            </a:rPr>
            <a:t>TITLE WINNERS</a:t>
          </a:r>
        </a:p>
      </cx:txPr>
    </cx:title>
    <cx:plotArea>
      <cx:plotAreaRegion>
        <cx:series layoutId="treemap" uniqueId="{00000000-6F84-449A-8A73-EE572DBD053C}">
          <cx:dataPt idx="0">
            <cx:spPr>
              <a:solidFill>
                <a:srgbClr val="F5A623"/>
              </a:solidFill>
            </cx:spPr>
          </cx:dataPt>
          <cx:dataPt idx="1">
            <cx:spPr>
              <a:solidFill>
                <a:srgbClr val="1B2A4A"/>
              </a:solidFill>
            </cx:spPr>
          </cx:dataPt>
          <cx:dataPt idx="2">
            <cx:spPr>
              <a:solidFill>
                <a:srgbClr val="2D4A8A"/>
              </a:solidFill>
            </cx:spPr>
          </cx:dataPt>
          <cx:dataPt idx="3">
            <cx:spPr>
              <a:solidFill>
                <a:srgbClr val="E8C46A"/>
              </a:solidFill>
            </cx:spPr>
          </cx:dataPt>
          <cx:dataPt idx="4">
            <cx:spPr>
              <a:solidFill>
                <a:sysClr val="window" lastClr="FFFFFF">
                  <a:lumMod val="85000"/>
                </a:sysClr>
              </a:solidFill>
            </cx:spPr>
          </cx:dataPt>
          <cx:dataPt idx="5">
            <cx:spPr>
              <a:solidFill>
                <a:srgbClr val="F0F4FA"/>
              </a:solidFill>
            </cx:spPr>
          </cx:dataPt>
          <cx:dataPt idx="7">
            <cx:spPr>
              <a:solidFill>
                <a:srgbClr val="6C8FCC"/>
              </a:solidFill>
            </cx:spPr>
          </cx:dataPt>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327660</xdr:colOff>
      <xdr:row>8</xdr:row>
      <xdr:rowOff>102870</xdr:rowOff>
    </xdr:from>
    <xdr:to>
      <xdr:col>17</xdr:col>
      <xdr:colOff>586740</xdr:colOff>
      <xdr:row>26</xdr:row>
      <xdr:rowOff>175260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4501AB8-84BC-67AF-5395-5FD7E5BC2D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98360" y="1626870"/>
              <a:ext cx="7663180" cy="350139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69273</xdr:rowOff>
    </xdr:from>
    <xdr:to>
      <xdr:col>5</xdr:col>
      <xdr:colOff>332509</xdr:colOff>
      <xdr:row>5</xdr:row>
      <xdr:rowOff>68580</xdr:rowOff>
    </xdr:to>
    <xdr:sp macro="" textlink="">
      <xdr:nvSpPr>
        <xdr:cNvPr id="2" name="Rectangle: Rounded Corners 1">
          <a:extLst>
            <a:ext uri="{FF2B5EF4-FFF2-40B4-BE49-F238E27FC236}">
              <a16:creationId xmlns:a16="http://schemas.microsoft.com/office/drawing/2014/main" id="{88E1C2AD-0DA7-8AFE-04E4-931AEA4D042D}"/>
            </a:ext>
          </a:extLst>
        </xdr:cNvPr>
        <xdr:cNvSpPr/>
      </xdr:nvSpPr>
      <xdr:spPr>
        <a:xfrm>
          <a:off x="0" y="69273"/>
          <a:ext cx="3380509" cy="89985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rgbClr val="002060"/>
            </a:solidFill>
            <a:latin typeface="Arial Black" panose="020B0A04020102020204" pitchFamily="34" charset="0"/>
          </a:endParaRPr>
        </a:p>
      </xdr:txBody>
    </xdr:sp>
    <xdr:clientData/>
  </xdr:twoCellAnchor>
  <xdr:twoCellAnchor editAs="oneCell">
    <xdr:from>
      <xdr:col>0</xdr:col>
      <xdr:colOff>0</xdr:colOff>
      <xdr:row>0</xdr:row>
      <xdr:rowOff>0</xdr:rowOff>
    </xdr:from>
    <xdr:to>
      <xdr:col>5</xdr:col>
      <xdr:colOff>129397</xdr:colOff>
      <xdr:row>5</xdr:row>
      <xdr:rowOff>115019</xdr:rowOff>
    </xdr:to>
    <xdr:pic>
      <xdr:nvPicPr>
        <xdr:cNvPr id="8" name="Picture 7">
          <a:extLst>
            <a:ext uri="{FF2B5EF4-FFF2-40B4-BE49-F238E27FC236}">
              <a16:creationId xmlns:a16="http://schemas.microsoft.com/office/drawing/2014/main" id="{05FF415D-3349-4253-9B12-CA9E366DA6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148642" cy="1049547"/>
        </a:xfrm>
        <a:prstGeom prst="rect">
          <a:avLst/>
        </a:prstGeom>
      </xdr:spPr>
    </xdr:pic>
    <xdr:clientData/>
  </xdr:twoCellAnchor>
  <xdr:twoCellAnchor editAs="oneCell">
    <xdr:from>
      <xdr:col>0</xdr:col>
      <xdr:colOff>0</xdr:colOff>
      <xdr:row>5</xdr:row>
      <xdr:rowOff>114301</xdr:rowOff>
    </xdr:from>
    <xdr:to>
      <xdr:col>33</xdr:col>
      <xdr:colOff>363414</xdr:colOff>
      <xdr:row>7</xdr:row>
      <xdr:rowOff>154609</xdr:rowOff>
    </xdr:to>
    <mc:AlternateContent xmlns:mc="http://schemas.openxmlformats.org/markup-compatibility/2006" xmlns:a14="http://schemas.microsoft.com/office/drawing/2010/main">
      <mc:Choice Requires="a14">
        <xdr:graphicFrame macro="">
          <xdr:nvGraphicFramePr>
            <xdr:cNvPr id="10" name="SEASON 2">
              <a:extLst>
                <a:ext uri="{FF2B5EF4-FFF2-40B4-BE49-F238E27FC236}">
                  <a16:creationId xmlns:a16="http://schemas.microsoft.com/office/drawing/2014/main" id="{8FFCB106-B2BD-4778-AC8A-DB7F06AC6AC5}"/>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0" y="1010772"/>
              <a:ext cx="20332296" cy="398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33129</xdr:colOff>
      <xdr:row>8</xdr:row>
      <xdr:rowOff>36997</xdr:rowOff>
    </xdr:from>
    <xdr:to>
      <xdr:col>18</xdr:col>
      <xdr:colOff>331303</xdr:colOff>
      <xdr:row>29</xdr:row>
      <xdr:rowOff>33130</xdr:rowOff>
    </xdr:to>
    <xdr:graphicFrame macro="">
      <xdr:nvGraphicFramePr>
        <xdr:cNvPr id="11" name="matches won">
          <a:extLst>
            <a:ext uri="{FF2B5EF4-FFF2-40B4-BE49-F238E27FC236}">
              <a16:creationId xmlns:a16="http://schemas.microsoft.com/office/drawing/2014/main" id="{D2920A97-1CCC-41BE-90D1-396BEF141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474870</xdr:colOff>
      <xdr:row>8</xdr:row>
      <xdr:rowOff>77304</xdr:rowOff>
    </xdr:from>
    <xdr:to>
      <xdr:col>25</xdr:col>
      <xdr:colOff>331303</xdr:colOff>
      <xdr:row>29</xdr:row>
      <xdr:rowOff>66261</xdr:rowOff>
    </xdr:to>
    <xdr:graphicFrame macro="">
      <xdr:nvGraphicFramePr>
        <xdr:cNvPr id="12" name="Chart 11">
          <a:extLst>
            <a:ext uri="{FF2B5EF4-FFF2-40B4-BE49-F238E27FC236}">
              <a16:creationId xmlns:a16="http://schemas.microsoft.com/office/drawing/2014/main" id="{11E357C1-31FC-45B8-AFC5-4DCDB437D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463826</xdr:colOff>
      <xdr:row>8</xdr:row>
      <xdr:rowOff>99390</xdr:rowOff>
    </xdr:from>
    <xdr:to>
      <xdr:col>33</xdr:col>
      <xdr:colOff>269631</xdr:colOff>
      <xdr:row>48</xdr:row>
      <xdr:rowOff>22087</xdr:rowOff>
    </xdr:to>
    <xdr:graphicFrame macro="">
      <xdr:nvGraphicFramePr>
        <xdr:cNvPr id="13" name="TOP 10 VENUES">
          <a:extLst>
            <a:ext uri="{FF2B5EF4-FFF2-40B4-BE49-F238E27FC236}">
              <a16:creationId xmlns:a16="http://schemas.microsoft.com/office/drawing/2014/main" id="{367DDAA9-E8DF-47B4-9678-C08835B4E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394137</xdr:colOff>
      <xdr:row>29</xdr:row>
      <xdr:rowOff>183930</xdr:rowOff>
    </xdr:from>
    <xdr:to>
      <xdr:col>25</xdr:col>
      <xdr:colOff>315309</xdr:colOff>
      <xdr:row>48</xdr:row>
      <xdr:rowOff>35169</xdr:rowOff>
    </xdr:to>
    <xdr:graphicFrame macro="">
      <xdr:nvGraphicFramePr>
        <xdr:cNvPr id="14" name="Chart 13">
          <a:extLst>
            <a:ext uri="{FF2B5EF4-FFF2-40B4-BE49-F238E27FC236}">
              <a16:creationId xmlns:a16="http://schemas.microsoft.com/office/drawing/2014/main" id="{6D41D7E7-E90A-4A72-8007-B540FD553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52551</xdr:colOff>
      <xdr:row>30</xdr:row>
      <xdr:rowOff>0</xdr:rowOff>
    </xdr:from>
    <xdr:to>
      <xdr:col>12</xdr:col>
      <xdr:colOff>236483</xdr:colOff>
      <xdr:row>48</xdr:row>
      <xdr:rowOff>52552</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7B4C0FDF-50FE-4048-83B0-E657404857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551" y="5715000"/>
              <a:ext cx="8261132" cy="348155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165742</xdr:colOff>
      <xdr:row>0</xdr:row>
      <xdr:rowOff>93784</xdr:rowOff>
    </xdr:from>
    <xdr:to>
      <xdr:col>10</xdr:col>
      <xdr:colOff>530087</xdr:colOff>
      <xdr:row>3</xdr:row>
      <xdr:rowOff>49695</xdr:rowOff>
    </xdr:to>
    <xdr:sp macro="" textlink="">
      <xdr:nvSpPr>
        <xdr:cNvPr id="16" name="Rectangle: Rounded Corners 15">
          <a:extLst>
            <a:ext uri="{FF2B5EF4-FFF2-40B4-BE49-F238E27FC236}">
              <a16:creationId xmlns:a16="http://schemas.microsoft.com/office/drawing/2014/main" id="{0751793B-AD41-E36A-7902-5B1BC3136A81}"/>
            </a:ext>
          </a:extLst>
        </xdr:cNvPr>
        <xdr:cNvSpPr/>
      </xdr:nvSpPr>
      <xdr:spPr>
        <a:xfrm>
          <a:off x="3843220" y="93784"/>
          <a:ext cx="2815997" cy="502563"/>
        </a:xfrm>
        <a:prstGeom prst="roundRect">
          <a:avLst/>
        </a:prstGeom>
        <a:solidFill>
          <a:srgbClr val="1B2A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SEASON</a:t>
          </a:r>
        </a:p>
      </xdr:txBody>
    </xdr:sp>
    <xdr:clientData/>
  </xdr:twoCellAnchor>
  <xdr:twoCellAnchor>
    <xdr:from>
      <xdr:col>7</xdr:col>
      <xdr:colOff>150970</xdr:colOff>
      <xdr:row>2</xdr:row>
      <xdr:rowOff>110242</xdr:rowOff>
    </xdr:from>
    <xdr:to>
      <xdr:col>12</xdr:col>
      <xdr:colOff>30792</xdr:colOff>
      <xdr:row>5</xdr:row>
      <xdr:rowOff>43897</xdr:rowOff>
    </xdr:to>
    <xdr:sp macro="" textlink="KPM!L16">
      <xdr:nvSpPr>
        <xdr:cNvPr id="6" name="Rectangle: Rounded Corners 5">
          <a:extLst>
            <a:ext uri="{FF2B5EF4-FFF2-40B4-BE49-F238E27FC236}">
              <a16:creationId xmlns:a16="http://schemas.microsoft.com/office/drawing/2014/main" id="{CDFC0063-88FE-4113-3C32-3CF926A12460}"/>
            </a:ext>
          </a:extLst>
        </xdr:cNvPr>
        <xdr:cNvSpPr/>
      </xdr:nvSpPr>
      <xdr:spPr>
        <a:xfrm>
          <a:off x="4441361" y="474677"/>
          <a:ext cx="2944388" cy="480307"/>
        </a:xfrm>
        <a:prstGeom prst="roundRect">
          <a:avLst/>
        </a:prstGeom>
        <a:solidFill>
          <a:srgbClr val="F5A6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DF79E8-1931-4EDA-91E3-53A142DD7344}" type="TxLink">
            <a:rPr lang="en-US" sz="1600" b="1" i="0" u="none" strike="noStrike">
              <a:solidFill>
                <a:srgbClr val="1B2A4A"/>
              </a:solidFill>
              <a:latin typeface="Arial Black" panose="020B0A04020102020204" pitchFamily="34" charset="0"/>
            </a:rPr>
            <a:pPr algn="ctr"/>
            <a:t>IPL-2026</a:t>
          </a:fld>
          <a:endParaRPr lang="en-US" sz="1600" b="1">
            <a:solidFill>
              <a:srgbClr val="1B2A4A"/>
            </a:solidFill>
            <a:latin typeface="Arial Black" panose="020B0A04020102020204" pitchFamily="34" charset="0"/>
          </a:endParaRPr>
        </a:p>
      </xdr:txBody>
    </xdr:sp>
    <xdr:clientData/>
  </xdr:twoCellAnchor>
  <xdr:twoCellAnchor>
    <xdr:from>
      <xdr:col>27</xdr:col>
      <xdr:colOff>285777</xdr:colOff>
      <xdr:row>0</xdr:row>
      <xdr:rowOff>42050</xdr:rowOff>
    </xdr:from>
    <xdr:to>
      <xdr:col>32</xdr:col>
      <xdr:colOff>501090</xdr:colOff>
      <xdr:row>3</xdr:row>
      <xdr:rowOff>373</xdr:rowOff>
    </xdr:to>
    <xdr:sp macro="" textlink="">
      <xdr:nvSpPr>
        <xdr:cNvPr id="30" name="Rectangle: Rounded Corners 29">
          <a:extLst>
            <a:ext uri="{FF2B5EF4-FFF2-40B4-BE49-F238E27FC236}">
              <a16:creationId xmlns:a16="http://schemas.microsoft.com/office/drawing/2014/main" id="{E2E75F70-9184-414D-97BC-ECA31A416CE8}"/>
            </a:ext>
          </a:extLst>
        </xdr:cNvPr>
        <xdr:cNvSpPr/>
      </xdr:nvSpPr>
      <xdr:spPr>
        <a:xfrm>
          <a:off x="16834429" y="42050"/>
          <a:ext cx="3279878" cy="504975"/>
        </a:xfrm>
        <a:prstGeom prst="roundRect">
          <a:avLst/>
        </a:prstGeom>
        <a:solidFill>
          <a:srgbClr val="1B2A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PLAYER</a:t>
          </a:r>
          <a:r>
            <a:rPr lang="en-US" sz="1800" b="1" baseline="0"/>
            <a:t> OF THE SERIES</a:t>
          </a:r>
        </a:p>
        <a:p>
          <a:pPr algn="ctr"/>
          <a:endParaRPr lang="en-US" sz="1800" b="1"/>
        </a:p>
      </xdr:txBody>
    </xdr:sp>
    <xdr:clientData/>
  </xdr:twoCellAnchor>
  <xdr:twoCellAnchor>
    <xdr:from>
      <xdr:col>28</xdr:col>
      <xdr:colOff>274317</xdr:colOff>
      <xdr:row>2</xdr:row>
      <xdr:rowOff>58508</xdr:rowOff>
    </xdr:from>
    <xdr:to>
      <xdr:col>33</xdr:col>
      <xdr:colOff>248479</xdr:colOff>
      <xdr:row>5</xdr:row>
      <xdr:rowOff>0</xdr:rowOff>
    </xdr:to>
    <xdr:sp macro="" textlink="KPM!O16">
      <xdr:nvSpPr>
        <xdr:cNvPr id="31" name="Rectangle: Rounded Corners 30">
          <a:extLst>
            <a:ext uri="{FF2B5EF4-FFF2-40B4-BE49-F238E27FC236}">
              <a16:creationId xmlns:a16="http://schemas.microsoft.com/office/drawing/2014/main" id="{EDCF2753-A25E-4E6B-9880-FA39D7CD1BA3}"/>
            </a:ext>
          </a:extLst>
        </xdr:cNvPr>
        <xdr:cNvSpPr/>
      </xdr:nvSpPr>
      <xdr:spPr>
        <a:xfrm>
          <a:off x="17435882" y="422943"/>
          <a:ext cx="3038727" cy="488144"/>
        </a:xfrm>
        <a:prstGeom prst="roundRect">
          <a:avLst/>
        </a:prstGeom>
        <a:solidFill>
          <a:srgbClr val="F5A6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B29991-BB6D-4CCC-8F9E-B22F570D9C50}" type="TxLink">
            <a:rPr lang="en-US" sz="2000" b="1" i="0" u="none" strike="noStrike">
              <a:solidFill>
                <a:srgbClr val="002060"/>
              </a:solidFill>
              <a:latin typeface="Arial Black" panose="020B0A04020102020204" pitchFamily="34" charset="0"/>
            </a:rPr>
            <a:pPr algn="ctr"/>
            <a:t>Not Decided</a:t>
          </a:fld>
          <a:endParaRPr lang="en-US" sz="3200" b="1">
            <a:solidFill>
              <a:srgbClr val="002060"/>
            </a:solidFill>
            <a:latin typeface="Arial Black" panose="020B0A04020102020204" pitchFamily="34" charset="0"/>
          </a:endParaRPr>
        </a:p>
      </xdr:txBody>
    </xdr:sp>
    <xdr:clientData/>
  </xdr:twoCellAnchor>
  <xdr:twoCellAnchor>
    <xdr:from>
      <xdr:col>20</xdr:col>
      <xdr:colOff>25574</xdr:colOff>
      <xdr:row>0</xdr:row>
      <xdr:rowOff>65497</xdr:rowOff>
    </xdr:from>
    <xdr:to>
      <xdr:col>25</xdr:col>
      <xdr:colOff>447261</xdr:colOff>
      <xdr:row>2</xdr:row>
      <xdr:rowOff>149087</xdr:rowOff>
    </xdr:to>
    <xdr:sp macro="" textlink="">
      <xdr:nvSpPr>
        <xdr:cNvPr id="32" name="Rectangle: Rounded Corners 31">
          <a:extLst>
            <a:ext uri="{FF2B5EF4-FFF2-40B4-BE49-F238E27FC236}">
              <a16:creationId xmlns:a16="http://schemas.microsoft.com/office/drawing/2014/main" id="{834259DC-4EB5-4C51-8450-C872A1F3AB2D}"/>
            </a:ext>
          </a:extLst>
        </xdr:cNvPr>
        <xdr:cNvSpPr/>
      </xdr:nvSpPr>
      <xdr:spPr>
        <a:xfrm>
          <a:off x="12283835" y="65497"/>
          <a:ext cx="3486252" cy="448025"/>
        </a:xfrm>
        <a:prstGeom prst="roundRect">
          <a:avLst/>
        </a:prstGeom>
        <a:solidFill>
          <a:srgbClr val="1B2A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RUNNER</a:t>
          </a:r>
          <a:r>
            <a:rPr lang="en-US" sz="1800" b="1" baseline="0"/>
            <a:t> UP</a:t>
          </a:r>
          <a:endParaRPr lang="en-US" sz="1800" b="1"/>
        </a:p>
      </xdr:txBody>
    </xdr:sp>
    <xdr:clientData/>
  </xdr:twoCellAnchor>
  <xdr:twoCellAnchor>
    <xdr:from>
      <xdr:col>21</xdr:col>
      <xdr:colOff>14114</xdr:colOff>
      <xdr:row>2</xdr:row>
      <xdr:rowOff>81955</xdr:rowOff>
    </xdr:from>
    <xdr:to>
      <xdr:col>26</xdr:col>
      <xdr:colOff>584948</xdr:colOff>
      <xdr:row>4</xdr:row>
      <xdr:rowOff>145704</xdr:rowOff>
    </xdr:to>
    <xdr:sp macro="" textlink="KPM!N16">
      <xdr:nvSpPr>
        <xdr:cNvPr id="33" name="Rectangle: Rounded Corners 32">
          <a:extLst>
            <a:ext uri="{FF2B5EF4-FFF2-40B4-BE49-F238E27FC236}">
              <a16:creationId xmlns:a16="http://schemas.microsoft.com/office/drawing/2014/main" id="{6ECD93FE-8890-4EFE-86E6-E4D0896C88CD}"/>
            </a:ext>
          </a:extLst>
        </xdr:cNvPr>
        <xdr:cNvSpPr/>
      </xdr:nvSpPr>
      <xdr:spPr>
        <a:xfrm>
          <a:off x="12885288" y="446390"/>
          <a:ext cx="3635399" cy="428184"/>
        </a:xfrm>
        <a:prstGeom prst="roundRect">
          <a:avLst/>
        </a:prstGeom>
        <a:solidFill>
          <a:srgbClr val="F5A6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90CAF5-ECA5-436B-B809-230D3E1A475A}" type="TxLink">
            <a:rPr lang="en-US" sz="1800" b="1" i="0" u="none" strike="noStrike">
              <a:solidFill>
                <a:srgbClr val="002060"/>
              </a:solidFill>
              <a:latin typeface="Arial Black" panose="020B0A04020102020204" pitchFamily="34" charset="0"/>
            </a:rPr>
            <a:pPr algn="ctr"/>
            <a:t>Not decided</a:t>
          </a:fld>
          <a:endParaRPr lang="en-US" sz="2800" b="1">
            <a:solidFill>
              <a:srgbClr val="002060"/>
            </a:solidFill>
            <a:latin typeface="Arial Black" panose="020B0A04020102020204" pitchFamily="34" charset="0"/>
          </a:endParaRPr>
        </a:p>
      </xdr:txBody>
    </xdr:sp>
    <xdr:clientData/>
  </xdr:twoCellAnchor>
  <xdr:twoCellAnchor>
    <xdr:from>
      <xdr:col>12</xdr:col>
      <xdr:colOff>448879</xdr:colOff>
      <xdr:row>0</xdr:row>
      <xdr:rowOff>88943</xdr:rowOff>
    </xdr:from>
    <xdr:to>
      <xdr:col>17</xdr:col>
      <xdr:colOff>563217</xdr:colOff>
      <xdr:row>3</xdr:row>
      <xdr:rowOff>0</xdr:rowOff>
    </xdr:to>
    <xdr:sp macro="" textlink="">
      <xdr:nvSpPr>
        <xdr:cNvPr id="34" name="Rectangle: Rounded Corners 33">
          <a:extLst>
            <a:ext uri="{FF2B5EF4-FFF2-40B4-BE49-F238E27FC236}">
              <a16:creationId xmlns:a16="http://schemas.microsoft.com/office/drawing/2014/main" id="{37D978BB-CD16-47C4-A455-2512D54778DC}"/>
            </a:ext>
          </a:extLst>
        </xdr:cNvPr>
        <xdr:cNvSpPr/>
      </xdr:nvSpPr>
      <xdr:spPr>
        <a:xfrm>
          <a:off x="7803836" y="88943"/>
          <a:ext cx="3178903" cy="457709"/>
        </a:xfrm>
        <a:prstGeom prst="roundRect">
          <a:avLst/>
        </a:prstGeom>
        <a:solidFill>
          <a:srgbClr val="1B2A4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rPr>
            <a:t>WINNER</a:t>
          </a:r>
        </a:p>
      </xdr:txBody>
    </xdr:sp>
    <xdr:clientData/>
  </xdr:twoCellAnchor>
  <xdr:twoCellAnchor>
    <xdr:from>
      <xdr:col>13</xdr:col>
      <xdr:colOff>437420</xdr:colOff>
      <xdr:row>2</xdr:row>
      <xdr:rowOff>105400</xdr:rowOff>
    </xdr:from>
    <xdr:to>
      <xdr:col>19</xdr:col>
      <xdr:colOff>74731</xdr:colOff>
      <xdr:row>4</xdr:row>
      <xdr:rowOff>178404</xdr:rowOff>
    </xdr:to>
    <xdr:sp macro="" textlink="KPM!M16">
      <xdr:nvSpPr>
        <xdr:cNvPr id="35" name="Rectangle: Rounded Corners 34">
          <a:extLst>
            <a:ext uri="{FF2B5EF4-FFF2-40B4-BE49-F238E27FC236}">
              <a16:creationId xmlns:a16="http://schemas.microsoft.com/office/drawing/2014/main" id="{0D8D01B9-778E-4DA7-88F1-0A7A934836D1}"/>
            </a:ext>
          </a:extLst>
        </xdr:cNvPr>
        <xdr:cNvSpPr/>
      </xdr:nvSpPr>
      <xdr:spPr>
        <a:xfrm>
          <a:off x="8405290" y="469835"/>
          <a:ext cx="3314789" cy="437439"/>
        </a:xfrm>
        <a:prstGeom prst="roundRect">
          <a:avLst/>
        </a:prstGeom>
        <a:solidFill>
          <a:srgbClr val="F5A6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F489C82-B797-4387-970D-E687BABFA65C}" type="TxLink">
            <a:rPr lang="en-US" sz="1800" b="0" i="0" u="none" strike="noStrike">
              <a:solidFill>
                <a:srgbClr val="002060"/>
              </a:solidFill>
              <a:latin typeface="Arial Black" panose="020B0A04020102020204" pitchFamily="34" charset="0"/>
            </a:rPr>
            <a:pPr algn="ctr"/>
            <a:t>Not Decided</a:t>
          </a:fld>
          <a:endParaRPr lang="en-US" sz="2800" b="0">
            <a:solidFill>
              <a:srgbClr val="002060"/>
            </a:solidFill>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83820</xdr:colOff>
      <xdr:row>7</xdr:row>
      <xdr:rowOff>118110</xdr:rowOff>
    </xdr:from>
    <xdr:to>
      <xdr:col>17</xdr:col>
      <xdr:colOff>487680</xdr:colOff>
      <xdr:row>22</xdr:row>
      <xdr:rowOff>118110</xdr:rowOff>
    </xdr:to>
    <xdr:graphicFrame macro="">
      <xdr:nvGraphicFramePr>
        <xdr:cNvPr id="2" name="matches won">
          <a:extLst>
            <a:ext uri="{FF2B5EF4-FFF2-40B4-BE49-F238E27FC236}">
              <a16:creationId xmlns:a16="http://schemas.microsoft.com/office/drawing/2014/main" id="{C16A6ECC-A28F-2FB8-8728-4A113FE16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205740</xdr:colOff>
      <xdr:row>7</xdr:row>
      <xdr:rowOff>41910</xdr:rowOff>
    </xdr:from>
    <xdr:to>
      <xdr:col>11</xdr:col>
      <xdr:colOff>137160</xdr:colOff>
      <xdr:row>22</xdr:row>
      <xdr:rowOff>41910</xdr:rowOff>
    </xdr:to>
    <xdr:graphicFrame macro="">
      <xdr:nvGraphicFramePr>
        <xdr:cNvPr id="2" name="Chart 1">
          <a:extLst>
            <a:ext uri="{FF2B5EF4-FFF2-40B4-BE49-F238E27FC236}">
              <a16:creationId xmlns:a16="http://schemas.microsoft.com/office/drawing/2014/main" id="{DAA2607D-DC46-CA99-814E-5C6D39F9E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274320</xdr:colOff>
      <xdr:row>6</xdr:row>
      <xdr:rowOff>64770</xdr:rowOff>
    </xdr:from>
    <xdr:to>
      <xdr:col>12</xdr:col>
      <xdr:colOff>236220</xdr:colOff>
      <xdr:row>30</xdr:row>
      <xdr:rowOff>15240</xdr:rowOff>
    </xdr:to>
    <xdr:graphicFrame macro="">
      <xdr:nvGraphicFramePr>
        <xdr:cNvPr id="2" name="TOP 10 VENUES">
          <a:extLst>
            <a:ext uri="{FF2B5EF4-FFF2-40B4-BE49-F238E27FC236}">
              <a16:creationId xmlns:a16="http://schemas.microsoft.com/office/drawing/2014/main" id="{D4A818FF-49C9-09A4-F2CC-EDCD7194D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99060</xdr:colOff>
      <xdr:row>7</xdr:row>
      <xdr:rowOff>22860</xdr:rowOff>
    </xdr:from>
    <xdr:to>
      <xdr:col>12</xdr:col>
      <xdr:colOff>99060</xdr:colOff>
      <xdr:row>21</xdr:row>
      <xdr:rowOff>43815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5BD0D334-6EC1-7A1E-46B4-689B1BA6FEA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858000" y="13030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388620</xdr:colOff>
      <xdr:row>5</xdr:row>
      <xdr:rowOff>148590</xdr:rowOff>
    </xdr:from>
    <xdr:to>
      <xdr:col>18</xdr:col>
      <xdr:colOff>76200</xdr:colOff>
      <xdr:row>21</xdr:row>
      <xdr:rowOff>157734</xdr:rowOff>
    </xdr:to>
    <xdr:graphicFrame macro="">
      <xdr:nvGraphicFramePr>
        <xdr:cNvPr id="4" name="Chart 3">
          <a:extLst>
            <a:ext uri="{FF2B5EF4-FFF2-40B4-BE49-F238E27FC236}">
              <a16:creationId xmlns:a16="http://schemas.microsoft.com/office/drawing/2014/main" id="{4D7115F1-83E8-5C46-1BA5-1AB9D26DF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510540</xdr:colOff>
      <xdr:row>21</xdr:row>
      <xdr:rowOff>7620</xdr:rowOff>
    </xdr:from>
    <xdr:to>
      <xdr:col>3</xdr:col>
      <xdr:colOff>202235</xdr:colOff>
      <xdr:row>30</xdr:row>
      <xdr:rowOff>101048</xdr:rowOff>
    </xdr:to>
    <xdr:pic>
      <xdr:nvPicPr>
        <xdr:cNvPr id="3" name="Picture 2">
          <a:extLst>
            <a:ext uri="{FF2B5EF4-FFF2-40B4-BE49-F238E27FC236}">
              <a16:creationId xmlns:a16="http://schemas.microsoft.com/office/drawing/2014/main" id="{88CB8A1C-BC47-4C90-8A2F-2428078D9E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3848100"/>
          <a:ext cx="1738935" cy="1739348"/>
        </a:xfrm>
        <a:prstGeom prst="rect">
          <a:avLst/>
        </a:prstGeom>
      </xdr:spPr>
    </xdr:pic>
    <xdr:clientData/>
  </xdr:twoCellAnchor>
  <xdr:twoCellAnchor editAs="oneCell">
    <xdr:from>
      <xdr:col>0</xdr:col>
      <xdr:colOff>673419</xdr:colOff>
      <xdr:row>27</xdr:row>
      <xdr:rowOff>136417</xdr:rowOff>
    </xdr:from>
    <xdr:to>
      <xdr:col>3</xdr:col>
      <xdr:colOff>234868</xdr:colOff>
      <xdr:row>37</xdr:row>
      <xdr:rowOff>71813</xdr:rowOff>
    </xdr:to>
    <xdr:pic>
      <xdr:nvPicPr>
        <xdr:cNvPr id="4" name="Picture 3">
          <a:extLst>
            <a:ext uri="{FF2B5EF4-FFF2-40B4-BE49-F238E27FC236}">
              <a16:creationId xmlns:a16="http://schemas.microsoft.com/office/drawing/2014/main" id="{2A544796-F047-4A9A-9C73-D0148CE9A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3419" y="5074177"/>
          <a:ext cx="1608689" cy="1764196"/>
        </a:xfrm>
        <a:prstGeom prst="rect">
          <a:avLst/>
        </a:prstGeom>
      </xdr:spPr>
    </xdr:pic>
    <xdr:clientData/>
  </xdr:twoCellAnchor>
  <xdr:twoCellAnchor>
    <xdr:from>
      <xdr:col>4</xdr:col>
      <xdr:colOff>478302</xdr:colOff>
      <xdr:row>25</xdr:row>
      <xdr:rowOff>30068</xdr:rowOff>
    </xdr:from>
    <xdr:to>
      <xdr:col>8</xdr:col>
      <xdr:colOff>342467</xdr:colOff>
      <xdr:row>28</xdr:row>
      <xdr:rowOff>144037</xdr:rowOff>
    </xdr:to>
    <xdr:sp macro="" textlink="">
      <xdr:nvSpPr>
        <xdr:cNvPr id="5" name="Rectangle: Rounded Corners 4">
          <a:extLst>
            <a:ext uri="{FF2B5EF4-FFF2-40B4-BE49-F238E27FC236}">
              <a16:creationId xmlns:a16="http://schemas.microsoft.com/office/drawing/2014/main" id="{7629F055-D01F-4314-B99C-25C43AB4AB42}"/>
            </a:ext>
          </a:extLst>
        </xdr:cNvPr>
        <xdr:cNvSpPr/>
      </xdr:nvSpPr>
      <xdr:spPr>
        <a:xfrm>
          <a:off x="3160542" y="4602068"/>
          <a:ext cx="2302565" cy="6626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121920</xdr:colOff>
      <xdr:row>8</xdr:row>
      <xdr:rowOff>0</xdr:rowOff>
    </xdr:from>
    <xdr:to>
      <xdr:col>10</xdr:col>
      <xdr:colOff>167640</xdr:colOff>
      <xdr:row>22</xdr:row>
      <xdr:rowOff>28575</xdr:rowOff>
    </xdr:to>
    <mc:AlternateContent xmlns:mc="http://schemas.openxmlformats.org/markup-compatibility/2006" xmlns:a14="http://schemas.microsoft.com/office/drawing/2010/main">
      <mc:Choice Requires="a14">
        <xdr:graphicFrame macro="">
          <xdr:nvGraphicFramePr>
            <xdr:cNvPr id="7" name="SEASON 1">
              <a:extLst>
                <a:ext uri="{FF2B5EF4-FFF2-40B4-BE49-F238E27FC236}">
                  <a16:creationId xmlns:a16="http://schemas.microsoft.com/office/drawing/2014/main" id="{9321C9AB-8E71-F637-B30B-F306B8614987}"/>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632960" y="1463040"/>
              <a:ext cx="1874520" cy="2588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UGOPAL PANDEY" refreshedDate="46168.020505555556" createdVersion="8" refreshedVersion="8" minRefreshableVersion="3" recordCount="1235" xr:uid="{6F5B1E07-E4A6-4647-A0BC-7C2649696076}">
  <cacheSource type="worksheet">
    <worksheetSource name="Match_Info"/>
  </cacheSource>
  <cacheFields count="14">
    <cacheField name="match_number" numFmtId="0">
      <sharedItems containsSemiMixedTypes="0" containsString="0" containsNumber="1" containsInteger="1" minValue="335982" maxValue="1529309"/>
    </cacheField>
    <cacheField name="YEAR" numFmtId="0">
      <sharedItems containsSemiMixedTypes="0" containsString="0" containsNumber="1" containsInteger="1" minValue="2008" maxValue="2026"/>
    </cacheField>
    <cacheField name="SEASON" numFmtId="0">
      <sharedItems count="19">
        <s v="IPL-2008"/>
        <s v="IPL-2009"/>
        <s v="IPL-2010"/>
        <s v="IPL-2011"/>
        <s v="IPL-2012"/>
        <s v="IPL-2013"/>
        <s v="IPL-2014"/>
        <s v="IPL-2015"/>
        <s v="IPL-2016"/>
        <s v="IPL-2017"/>
        <s v="IPL-2018"/>
        <s v="IPL-2019"/>
        <s v="IPL-2020"/>
        <s v="IPL-2021"/>
        <s v="IPL-2022"/>
        <s v="IPL-2023"/>
        <s v="IPL-2024"/>
        <s v="IPL-2025"/>
        <s v="IPL-2026"/>
      </sharedItems>
    </cacheField>
    <cacheField name="match_date" numFmtId="14">
      <sharedItems containsSemiMixedTypes="0" containsNonDate="0" containsDate="1" containsString="0" minDate="2008-04-18T00:00:00" maxDate="2026-05-22T00:00:00"/>
    </cacheField>
    <cacheField name="team1" numFmtId="0">
      <sharedItems/>
    </cacheField>
    <cacheField name="team2" numFmtId="0">
      <sharedItems/>
    </cacheField>
    <cacheField name="Column1" numFmtId="0">
      <sharedItems containsNonDate="0" containsString="0" containsBlank="1"/>
    </cacheField>
    <cacheField name="toss_winner" numFmtId="0">
      <sharedItems/>
    </cacheField>
    <cacheField name="toss_decision" numFmtId="0">
      <sharedItems count="2">
        <s v="field"/>
        <s v="bat"/>
      </sharedItems>
    </cacheField>
    <cacheField name="result" numFmtId="0">
      <sharedItems/>
    </cacheField>
    <cacheField name="winner" numFmtId="0">
      <sharedItems count="20">
        <s v="Kolkata Knight Riders"/>
        <s v="Chennai Super Kings"/>
        <s v="Delhi Daredevils"/>
        <s v="Royal Challengers Bangalore"/>
        <s v="Rajasthan Royals"/>
        <s v="Kings XI Punjab"/>
        <s v="Deccan Chargers"/>
        <s v="Mumbai Indians"/>
        <s v="NA"/>
        <s v="Pune Warriors"/>
        <s v="Kochi Tuskers Kerala"/>
        <s v="Sunrisers Hyderabad"/>
        <s v="Rising Pune Supergiants"/>
        <s v="Gujarat Lions"/>
        <s v="Rising Pune Supergiant"/>
        <s v="Delhi Capitals"/>
        <s v="Punjab Kings"/>
        <s v="Gujarat Titans"/>
        <s v="Lucknow Super Giants"/>
        <s v="Royal Challengers Bengaluru"/>
      </sharedItems>
    </cacheField>
    <cacheField name="POTM" numFmtId="0">
      <sharedItems count="322">
        <s v="BB McCullum"/>
        <s v="MEK Hussey"/>
        <s v="MF Maharoof"/>
        <s v="DJ Hussey"/>
        <s v="MV Boucher"/>
        <s v="SR Watson"/>
        <s v="V Sehwag"/>
        <s v="ML Hayden"/>
        <s v="YK Pathan"/>
        <s v="KC Sangakkara"/>
        <s v="JDP Oram"/>
        <s v="SM Katich"/>
        <s v="AC Gilchrist"/>
        <s v="MS Dhoni"/>
        <s v="ST Jayasuriya"/>
        <s v="GD McGrath"/>
        <s v="SE Marsh"/>
        <s v="SA Asnodkar"/>
        <s v="P Kumar"/>
        <s v="IK Pathan"/>
        <s v="SM Pollock"/>
        <s v="Sohail Tanvir"/>
        <s v="S Sreesanth"/>
        <s v="A Nehra"/>
        <s v="SC Ganguly"/>
        <s v="L Balaji"/>
        <s v="Shoaib Akhtar"/>
        <s v="A Mishra"/>
        <s v="DPMD Jayawardene"/>
        <s v="GC Smith"/>
        <s v="M Ntini"/>
        <s v="DJ Bravo"/>
        <s v="SP Goswami"/>
        <s v="A Kumble"/>
        <s v="JA Morkel"/>
        <s v="KD Karthik"/>
        <s v="R Vinay Kumar"/>
        <s v="Umar Gul"/>
        <s v="SK Raina"/>
        <s v="CRD Fernando"/>
        <s v="R Dravid"/>
        <s v="SR Tendulkar"/>
        <s v="RP Singh"/>
        <s v="DL Vettori"/>
        <s v="M Muralitharan"/>
        <s v="CH Gayle"/>
        <s v="AB de Villiers"/>
        <s v="RS Bopara"/>
        <s v="PP Ojha"/>
        <s v="TM Dilshan"/>
        <s v="HH Gibbs"/>
        <s v="DP Nannes"/>
        <s v="Yuvraj Singh"/>
        <s v="JP Duminy"/>
        <s v="SB Jakati"/>
        <s v="JH Kallis"/>
        <s v="G Gambhir"/>
        <s v="RG Sharma"/>
        <s v="A Singh"/>
        <s v="S Badrinath"/>
        <s v="DR Smith"/>
        <s v="LRPL Taylor"/>
        <s v="Harbhajan Singh"/>
        <s v="R Bhatia"/>
        <s v="SK Warne"/>
        <s v="B Lee"/>
        <s v="BJ Hodge"/>
        <s v="LR Shukla"/>
        <s v="MK Pandey"/>
        <s v="AD Mathews"/>
        <s v="WPUJC Vaas"/>
        <s v="MK Tiwary"/>
        <s v="A Symonds"/>
        <s v="AA Jhunjhunwala"/>
        <s v="J Theron"/>
        <s v="RV Uthappa"/>
        <s v="AC Voges"/>
        <s v="KM Jadhav"/>
        <s v="NV Ojha"/>
        <s v="DA Warner"/>
        <s v="SL Malinga"/>
        <s v="M Vijay"/>
        <s v="KP Pietersen"/>
        <s v="AT Rayudu"/>
        <s v="PD Collingwood"/>
        <s v="MJ Lumb"/>
        <s v="TL Suman"/>
        <s v="RJ Harris"/>
        <s v="PP Chawla"/>
        <s v="Harmeet Singh"/>
        <s v="R Ashwin"/>
        <s v="KA Pollard"/>
        <s v="JD Unadkat"/>
        <s v="R McLaren"/>
        <s v="M Kartik"/>
        <s v="DE Bollinger"/>
        <s v="S Anirudha"/>
        <s v="SK Trivedi"/>
        <s v="SB Wagh"/>
        <s v="MD Mishra"/>
        <s v="PC Valthaty"/>
        <s v="DW Steyn"/>
        <s v="S Sohal"/>
        <s v="MM Patel"/>
        <s v="V Kohli"/>
        <s v="I Sharma"/>
        <s v="J Botha"/>
        <s v="Iqbal Abdulla"/>
        <s v="P Parameswaran"/>
        <s v="R Sharma"/>
        <s v="BA Bhatt"/>
        <s v="MR Marsh"/>
        <s v="S Aravind"/>
        <s v="WP Saha"/>
        <s v="N"/>
        <s v="S Dhawan"/>
        <s v="JEC Franklin"/>
        <s v="RE Levi"/>
        <s v="AM Rahane"/>
        <s v="SPD Smith"/>
        <s v="RA Jadeja"/>
        <s v="MN Samuels"/>
        <s v="M Morkel"/>
        <s v="AD Mascarenhas"/>
        <s v="F du Plessi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Sandeep Sharma"/>
        <s v="PV Tambe"/>
        <s v="B Kumar"/>
        <s v="KK Nair"/>
        <s v="CJ Anderson"/>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B Stanlake"/>
        <s v="JJ Roy"/>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MA Wood"/>
        <s v="Arshdeep Singh"/>
        <s v="B Sai Sudharsan"/>
        <s v="NT Ellis"/>
        <s v="N Pooran"/>
        <s v="HC Brook"/>
        <s v="Sikandar Raza"/>
        <s v="C Green"/>
        <s v="A Manohar"/>
        <s v="J Little"/>
        <s v="PD Salt"/>
        <s v="M Pathirana"/>
        <s v="GD Phillips"/>
        <s v="PN Mankad"/>
        <s v="P Simran Singh"/>
        <s v="WD Parnell"/>
        <s v="RR Rossouw"/>
        <s v="Akash Madhwal"/>
        <s v="MP Yadav"/>
        <s v="Shashank Singh"/>
        <s v="R Shepherd"/>
        <s v="Yash Thakur"/>
        <s v="Nithish Kumar Reddy"/>
        <s v="TM Head"/>
        <s v="R Sai Kishore"/>
        <s v="J Fraser-McGurk"/>
        <s v="WG Jacks"/>
        <s v="Simarjeet Singh"/>
        <s v="Shahbaz Ahmed"/>
        <s v="Noor Ahmad"/>
        <s v="Ashutosh Sharma"/>
        <s v="M Prasidh Krishna"/>
        <s v="Ashwani Kumar"/>
        <s v="VG Arora"/>
        <s v="DS Rathi"/>
        <s v="Priyansh Arya"/>
        <s v="AK Markram"/>
        <s v="Mukesh Kumar"/>
        <s v="V Suryavanshi"/>
        <s v="RD Rickelton"/>
        <s v="Sameer Rizvi"/>
        <s v="H Klaasen"/>
        <s v="D Brevis"/>
        <s v="JP Inglis"/>
        <s v="JM Sharma"/>
        <s v="Suyash Sharma"/>
        <s v="JA Duffy"/>
        <s v="N Burger"/>
        <s v="C Connolly"/>
        <s v="Ravi Bishnoi"/>
        <s v="MD Choudhary"/>
        <s v="PP Hinge"/>
        <s v="E Malinga"/>
        <s v="T Stubbs"/>
        <s v="Tilak Varma"/>
        <s v="D Ferreira"/>
        <s v="FH Allen"/>
        <s v="J Overton"/>
        <s v="M Tiwari"/>
      </sharedItems>
    </cacheField>
    <cacheField name="venue" numFmtId="0">
      <sharedItems count="60">
        <s v="M Chinnaswamy Stadium"/>
        <s v="Punjab Cricket Association Stadium, Mohali"/>
        <s v="Feroz Shah Kotla"/>
        <s v="Eden Gardens"/>
        <s v="Wankhede Stadium"/>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Bharat Ratna Shri Atal Bihari Vajpayee Ekana Cricket Stadium, Lucknow"/>
        <s v="Punjab Cricket Association IS Bindra Stadium, Mohali, Chandigarh"/>
        <s v="M Chinnaswamy Stadium, Bengaluru"/>
        <s v="Rajiv Gandhi International Stadium, Uppal, Hyderabad"/>
        <s v="Barsapara Cricket Stadium, Guwahati"/>
        <s v="Sawai Mansingh Stadium, Jaipur"/>
        <s v="Himachal Pradesh Cricket Association Stadium, Dharamsala"/>
        <s v="Maharaja Yadavindra Singh International Cricket Stadium, Mullanpur"/>
        <s v="Dr. Y.S. Rajasekhara Reddy ACA-VDCA Cricket Stadium, Visakhapatnam"/>
        <s v="Maharaja Yadavindra Singh International Cricket Stadium, New Chandigarh"/>
        <s v="Shaheed Veer Narayan Singh International Stadium, Raipur"/>
      </sharedItems>
    </cacheField>
    <cacheField name="city" numFmtId="0">
      <sharedItems/>
    </cacheField>
  </cacheFields>
  <extLst>
    <ext xmlns:x14="http://schemas.microsoft.com/office/spreadsheetml/2009/9/main" uri="{725AE2AE-9491-48be-B2B4-4EB974FC3084}">
      <x14:pivotCacheDefinition pivotCacheId="7004442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UGOPAL PANDEY" refreshedDate="46168.033204629632" createdVersion="8" refreshedVersion="8" minRefreshableVersion="3" recordCount="18" xr:uid="{2DC78B02-8433-4CC8-ACB8-25BFDCB78A03}">
  <cacheSource type="worksheet">
    <worksheetSource ref="A1:N19" sheet="DATA"/>
  </cacheSource>
  <cacheFields count="14">
    <cacheField name="season" numFmtId="0">
      <sharedItems containsSemiMixedTypes="0" containsString="0" containsNumber="1" containsInteger="1" minValue="2008" maxValue="2025" count="18">
        <n v="2008"/>
        <n v="2009"/>
        <n v="2010"/>
        <n v="2011"/>
        <n v="2012"/>
        <n v="2013"/>
        <n v="2014"/>
        <n v="2015"/>
        <n v="2016"/>
        <n v="2017"/>
        <n v="2018"/>
        <n v="2019"/>
        <n v="2020"/>
        <n v="2021"/>
        <n v="2022"/>
        <n v="2023"/>
        <n v="2024"/>
        <n v="2025"/>
      </sharedItems>
    </cacheField>
    <cacheField name="total_matches" numFmtId="0">
      <sharedItems containsSemiMixedTypes="0" containsString="0" containsNumber="1" containsInteger="1" minValue="59" maxValue="76"/>
    </cacheField>
    <cacheField name="num_teams" numFmtId="0">
      <sharedItems containsSemiMixedTypes="0" containsString="0" containsNumber="1" containsInteger="1" minValue="8" maxValue="10"/>
    </cacheField>
    <cacheField name="champion" numFmtId="0">
      <sharedItems count="8">
        <s v="Rajasthan Royals"/>
        <s v="Deccan Chargers"/>
        <s v="Chennai Super Kings"/>
        <s v="Kolkata Knight Riders"/>
        <s v="Mumbai Indians"/>
        <s v="Sunrisers Hyderabad"/>
        <s v="Gujarat Titans"/>
        <s v="Royal Challengers Bengaluru"/>
      </sharedItems>
    </cacheField>
    <cacheField name="runner_up" numFmtId="0">
      <sharedItems/>
    </cacheField>
    <cacheField name="orange_cap_winner" numFmtId="0">
      <sharedItems/>
    </cacheField>
    <cacheField name="purple_cap_winner" numFmtId="0">
      <sharedItems/>
    </cacheField>
    <cacheField name="most_valuable_player" numFmtId="0">
      <sharedItems/>
    </cacheField>
    <cacheField name="total_runs_scored" numFmtId="0">
      <sharedItems containsSemiMixedTypes="0" containsString="0" containsNumber="1" containsInteger="1" minValue="16800" maxValue="27000"/>
    </cacheField>
    <cacheField name="total_sixes" numFmtId="0">
      <sharedItems containsSemiMixedTypes="0" containsString="0" containsNumber="1" containsInteger="1" minValue="506" maxValue="1294"/>
    </cacheField>
    <cacheField name="total_fours" numFmtId="0">
      <sharedItems containsSemiMixedTypes="0" containsString="0" containsNumber="1" containsInteger="1" minValue="1416" maxValue="2190"/>
    </cacheField>
    <cacheField name="avg_first_innings_score" numFmtId="0">
      <sharedItems containsSemiMixedTypes="0" containsString="0" containsNumber="1" containsInteger="1" minValue="148" maxValue="183"/>
    </cacheField>
    <cacheField name="highest_team_total" numFmtId="0">
      <sharedItems containsSemiMixedTypes="0" containsString="0" containsNumber="1" containsInteger="1" minValue="211" maxValue="287"/>
    </cacheField>
    <cacheField name="lowest_team_total" numFmtId="0">
      <sharedItems containsSemiMixedTypes="0" containsString="0" containsNumber="1" containsInteger="1" minValue="49" maxValue="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5">
  <r>
    <n v="335982"/>
    <n v="2008"/>
    <x v="0"/>
    <d v="2008-04-18T00:00:00"/>
    <s v="Royal Challengers Bangalore"/>
    <s v="Kolkata Knight Riders"/>
    <m/>
    <s v="Royal Challengers Bangalore"/>
    <x v="0"/>
    <s v="Win"/>
    <x v="0"/>
    <x v="0"/>
    <x v="0"/>
    <s v="Bangalore"/>
  </r>
  <r>
    <n v="335983"/>
    <n v="2008"/>
    <x v="0"/>
    <d v="2008-04-19T00:00:00"/>
    <s v="Kings XI Punjab"/>
    <s v="Chennai Super Kings"/>
    <m/>
    <s v="Chennai Super Kings"/>
    <x v="1"/>
    <s v="Win"/>
    <x v="1"/>
    <x v="1"/>
    <x v="1"/>
    <s v="Chandigarh"/>
  </r>
  <r>
    <n v="335984"/>
    <n v="2008"/>
    <x v="0"/>
    <d v="2008-04-19T00:00:00"/>
    <s v="Delhi Daredevils"/>
    <s v="Rajasthan Royals"/>
    <m/>
    <s v="Rajasthan Royals"/>
    <x v="1"/>
    <s v="Win"/>
    <x v="2"/>
    <x v="2"/>
    <x v="2"/>
    <s v="Delhi"/>
  </r>
  <r>
    <n v="335986"/>
    <n v="2008"/>
    <x v="0"/>
    <d v="2008-04-20T00:00:00"/>
    <s v="Kolkata Knight Riders"/>
    <s v="Deccan Chargers"/>
    <m/>
    <s v="Deccan Chargers"/>
    <x v="1"/>
    <s v="Win"/>
    <x v="0"/>
    <x v="3"/>
    <x v="3"/>
    <s v="Kolkata"/>
  </r>
  <r>
    <n v="335985"/>
    <n v="2008"/>
    <x v="0"/>
    <d v="2008-04-20T00:00:00"/>
    <s v="Mumbai Indians"/>
    <s v="Royal Challengers Bangalore"/>
    <m/>
    <s v="Mumbai Indians"/>
    <x v="1"/>
    <s v="Win"/>
    <x v="3"/>
    <x v="4"/>
    <x v="4"/>
    <s v="Mumbai"/>
  </r>
  <r>
    <n v="335987"/>
    <n v="2008"/>
    <x v="0"/>
    <d v="2008-04-21T00:00:00"/>
    <s v="Rajasthan Royals"/>
    <s v="Kings XI Punjab"/>
    <m/>
    <s v="Kings XI Punjab"/>
    <x v="1"/>
    <s v="Win"/>
    <x v="4"/>
    <x v="5"/>
    <x v="5"/>
    <s v="Jaipur"/>
  </r>
  <r>
    <n v="335988"/>
    <n v="2008"/>
    <x v="0"/>
    <d v="2008-04-22T00:00:00"/>
    <s v="Deccan Chargers"/>
    <s v="Delhi Daredevils"/>
    <m/>
    <s v="Deccan Chargers"/>
    <x v="1"/>
    <s v="Win"/>
    <x v="2"/>
    <x v="6"/>
    <x v="6"/>
    <s v="Hyderabad"/>
  </r>
  <r>
    <n v="335989"/>
    <n v="2008"/>
    <x v="0"/>
    <d v="2008-04-23T00:00:00"/>
    <s v="Chennai Super Kings"/>
    <s v="Mumbai Indians"/>
    <m/>
    <s v="Mumbai Indians"/>
    <x v="0"/>
    <s v="Win"/>
    <x v="1"/>
    <x v="7"/>
    <x v="7"/>
    <s v="Chennai"/>
  </r>
  <r>
    <n v="335990"/>
    <n v="2008"/>
    <x v="0"/>
    <d v="2008-04-24T00:00:00"/>
    <s v="Deccan Chargers"/>
    <s v="Rajasthan Royals"/>
    <m/>
    <s v="Rajasthan Royals"/>
    <x v="0"/>
    <s v="Win"/>
    <x v="4"/>
    <x v="8"/>
    <x v="6"/>
    <s v="Hyderabad"/>
  </r>
  <r>
    <n v="335991"/>
    <n v="2008"/>
    <x v="0"/>
    <d v="2008-04-25T00:00:00"/>
    <s v="Kings XI Punjab"/>
    <s v="Mumbai Indians"/>
    <m/>
    <s v="Mumbai Indians"/>
    <x v="0"/>
    <s v="Win"/>
    <x v="5"/>
    <x v="9"/>
    <x v="1"/>
    <s v="Chandigarh"/>
  </r>
  <r>
    <n v="335993"/>
    <n v="2008"/>
    <x v="0"/>
    <d v="2008-04-26T00:00:00"/>
    <s v="Chennai Super Kings"/>
    <s v="Kolkata Knight Riders"/>
    <m/>
    <s v="Kolkata Knight Riders"/>
    <x v="1"/>
    <s v="Win"/>
    <x v="1"/>
    <x v="10"/>
    <x v="7"/>
    <s v="Chennai"/>
  </r>
  <r>
    <n v="335992"/>
    <n v="2008"/>
    <x v="0"/>
    <d v="2008-04-26T00:00:00"/>
    <s v="Royal Challengers Bangalore"/>
    <s v="Rajasthan Royals"/>
    <m/>
    <s v="Rajasthan Royals"/>
    <x v="0"/>
    <s v="Win"/>
    <x v="4"/>
    <x v="5"/>
    <x v="0"/>
    <s v="Bangalore"/>
  </r>
  <r>
    <n v="335995"/>
    <n v="2008"/>
    <x v="0"/>
    <d v="2008-04-27T00:00:00"/>
    <s v="Kings XI Punjab"/>
    <s v="Delhi Daredevils"/>
    <m/>
    <s v="Delhi Daredevils"/>
    <x v="1"/>
    <s v="Win"/>
    <x v="5"/>
    <x v="11"/>
    <x v="1"/>
    <s v="Chandigarh"/>
  </r>
  <r>
    <n v="335994"/>
    <n v="2008"/>
    <x v="0"/>
    <d v="2008-04-27T00:00:00"/>
    <s v="Mumbai Indians"/>
    <s v="Deccan Chargers"/>
    <m/>
    <s v="Deccan Chargers"/>
    <x v="0"/>
    <s v="Win"/>
    <x v="6"/>
    <x v="12"/>
    <x v="8"/>
    <s v="Mumbai"/>
  </r>
  <r>
    <n v="335996"/>
    <n v="2008"/>
    <x v="0"/>
    <d v="2008-04-28T00:00:00"/>
    <s v="Royal Challengers Bangalore"/>
    <s v="Chennai Super Kings"/>
    <m/>
    <s v="Chennai Super Kings"/>
    <x v="1"/>
    <s v="Win"/>
    <x v="1"/>
    <x v="13"/>
    <x v="0"/>
    <s v="Bangalore"/>
  </r>
  <r>
    <n v="335997"/>
    <n v="2008"/>
    <x v="0"/>
    <d v="2008-04-29T00:00:00"/>
    <s v="Kolkata Knight Riders"/>
    <s v="Mumbai Indians"/>
    <m/>
    <s v="Kolkata Knight Riders"/>
    <x v="1"/>
    <s v="Win"/>
    <x v="7"/>
    <x v="14"/>
    <x v="3"/>
    <s v="Kolkata"/>
  </r>
  <r>
    <n v="335998"/>
    <n v="2008"/>
    <x v="0"/>
    <d v="2008-04-30T00:00:00"/>
    <s v="Delhi Daredevils"/>
    <s v="Royal Challengers Bangalore"/>
    <m/>
    <s v="Royal Challengers Bangalore"/>
    <x v="0"/>
    <s v="Win"/>
    <x v="2"/>
    <x v="15"/>
    <x v="2"/>
    <s v="Delhi"/>
  </r>
  <r>
    <n v="335999"/>
    <n v="2008"/>
    <x v="0"/>
    <d v="2008-05-01T00:00:00"/>
    <s v="Deccan Chargers"/>
    <s v="Kings XI Punjab"/>
    <m/>
    <s v="Kings XI Punjab"/>
    <x v="0"/>
    <s v="Win"/>
    <x v="5"/>
    <x v="16"/>
    <x v="6"/>
    <s v="Hyderabad"/>
  </r>
  <r>
    <n v="336000"/>
    <n v="2008"/>
    <x v="0"/>
    <d v="2008-05-01T00:00:00"/>
    <s v="Rajasthan Royals"/>
    <s v="Kolkata Knight Riders"/>
    <m/>
    <s v="Rajasthan Royals"/>
    <x v="1"/>
    <s v="Win"/>
    <x v="4"/>
    <x v="17"/>
    <x v="5"/>
    <s v="Jaipur"/>
  </r>
  <r>
    <n v="336001"/>
    <n v="2008"/>
    <x v="0"/>
    <d v="2008-05-02T00:00:00"/>
    <s v="Chennai Super Kings"/>
    <s v="Delhi Daredevils"/>
    <m/>
    <s v="Chennai Super Kings"/>
    <x v="1"/>
    <s v="Win"/>
    <x v="2"/>
    <x v="6"/>
    <x v="7"/>
    <s v="Chennai"/>
  </r>
  <r>
    <n v="336034"/>
    <n v="2008"/>
    <x v="0"/>
    <d v="2008-05-03T00:00:00"/>
    <s v="Royal Challengers Bangalore"/>
    <s v="Deccan Chargers"/>
    <m/>
    <s v="Deccan Chargers"/>
    <x v="0"/>
    <s v="Win"/>
    <x v="3"/>
    <x v="18"/>
    <x v="0"/>
    <s v="Bangalore"/>
  </r>
  <r>
    <n v="336003"/>
    <n v="2008"/>
    <x v="0"/>
    <d v="2008-05-03T00:00:00"/>
    <s v="Kings XI Punjab"/>
    <s v="Kolkata Knight Riders"/>
    <m/>
    <s v="Kings XI Punjab"/>
    <x v="1"/>
    <s v="Win"/>
    <x v="5"/>
    <x v="19"/>
    <x v="1"/>
    <s v="Chandigarh"/>
  </r>
  <r>
    <n v="336004"/>
    <n v="2008"/>
    <x v="0"/>
    <d v="2008-05-04T00:00:00"/>
    <s v="Mumbai Indians"/>
    <s v="Delhi Daredevils"/>
    <m/>
    <s v="Delhi Daredevils"/>
    <x v="0"/>
    <s v="Win"/>
    <x v="7"/>
    <x v="20"/>
    <x v="8"/>
    <s v="Mumbai"/>
  </r>
  <r>
    <n v="336005"/>
    <n v="2008"/>
    <x v="0"/>
    <d v="2008-05-04T00:00:00"/>
    <s v="Rajasthan Royals"/>
    <s v="Chennai Super Kings"/>
    <m/>
    <s v="Chennai Super Kings"/>
    <x v="1"/>
    <s v="Win"/>
    <x v="4"/>
    <x v="21"/>
    <x v="5"/>
    <s v="Jaipur"/>
  </r>
  <r>
    <n v="336006"/>
    <n v="2008"/>
    <x v="0"/>
    <d v="2008-05-05T00:00:00"/>
    <s v="Royal Challengers Bangalore"/>
    <s v="Kings XI Punjab"/>
    <m/>
    <s v="Kings XI Punjab"/>
    <x v="0"/>
    <s v="Win"/>
    <x v="5"/>
    <x v="22"/>
    <x v="0"/>
    <s v="Bangalore"/>
  </r>
  <r>
    <n v="336007"/>
    <n v="2008"/>
    <x v="0"/>
    <d v="2008-05-06T00:00:00"/>
    <s v="Chennai Super Kings"/>
    <s v="Deccan Chargers"/>
    <m/>
    <s v="Deccan Chargers"/>
    <x v="0"/>
    <s v="Win"/>
    <x v="6"/>
    <x v="12"/>
    <x v="7"/>
    <s v="Chennai"/>
  </r>
  <r>
    <n v="336008"/>
    <n v="2008"/>
    <x v="0"/>
    <d v="2008-05-07T00:00:00"/>
    <s v="Mumbai Indians"/>
    <s v="Rajasthan Royals"/>
    <m/>
    <s v="Mumbai Indians"/>
    <x v="0"/>
    <s v="Win"/>
    <x v="7"/>
    <x v="23"/>
    <x v="8"/>
    <s v="Mumbai"/>
  </r>
  <r>
    <n v="336010"/>
    <n v="2008"/>
    <x v="0"/>
    <d v="2008-05-08T00:00:00"/>
    <s v="Kolkata Knight Riders"/>
    <s v="Royal Challengers Bangalore"/>
    <m/>
    <s v="Kolkata Knight Riders"/>
    <x v="1"/>
    <s v="Win"/>
    <x v="0"/>
    <x v="24"/>
    <x v="3"/>
    <s v="Kolkata"/>
  </r>
  <r>
    <n v="336009"/>
    <n v="2008"/>
    <x v="0"/>
    <d v="2008-05-08T00:00:00"/>
    <s v="Delhi Daredevils"/>
    <s v="Chennai Super Kings"/>
    <m/>
    <s v="Chennai Super Kings"/>
    <x v="0"/>
    <s v="Win"/>
    <x v="1"/>
    <x v="13"/>
    <x v="2"/>
    <s v="Delhi"/>
  </r>
  <r>
    <n v="336011"/>
    <n v="2008"/>
    <x v="0"/>
    <d v="2008-05-09T00:00:00"/>
    <s v="Rajasthan Royals"/>
    <s v="Deccan Chargers"/>
    <m/>
    <s v="Rajasthan Royals"/>
    <x v="0"/>
    <s v="Win"/>
    <x v="4"/>
    <x v="8"/>
    <x v="5"/>
    <s v="Jaipur"/>
  </r>
  <r>
    <n v="336013"/>
    <n v="2008"/>
    <x v="0"/>
    <d v="2008-05-10T00:00:00"/>
    <s v="Chennai Super Kings"/>
    <s v="Kings XI Punjab"/>
    <m/>
    <s v="Kings XI Punjab"/>
    <x v="0"/>
    <s v="Win"/>
    <x v="1"/>
    <x v="25"/>
    <x v="7"/>
    <s v="Chennai"/>
  </r>
  <r>
    <n v="336015"/>
    <n v="2008"/>
    <x v="0"/>
    <d v="2008-05-11T00:00:00"/>
    <s v="Rajasthan Royals"/>
    <s v="Delhi Daredevils"/>
    <m/>
    <s v="Rajasthan Royals"/>
    <x v="0"/>
    <s v="Win"/>
    <x v="4"/>
    <x v="5"/>
    <x v="5"/>
    <s v="Jaipur"/>
  </r>
  <r>
    <n v="336014"/>
    <n v="2008"/>
    <x v="0"/>
    <d v="2008-05-11T00:00:00"/>
    <s v="Deccan Chargers"/>
    <s v="Kolkata Knight Riders"/>
    <m/>
    <s v="Kolkata Knight Riders"/>
    <x v="1"/>
    <s v="Win"/>
    <x v="0"/>
    <x v="24"/>
    <x v="6"/>
    <s v="Hyderabad"/>
  </r>
  <r>
    <n v="336016"/>
    <n v="2008"/>
    <x v="0"/>
    <d v="2008-05-12T00:00:00"/>
    <s v="Kings XI Punjab"/>
    <s v="Royal Challengers Bangalore"/>
    <m/>
    <s v="Royal Challengers Bangalore"/>
    <x v="1"/>
    <s v="Win"/>
    <x v="5"/>
    <x v="16"/>
    <x v="1"/>
    <s v="Chandigarh"/>
  </r>
  <r>
    <n v="336017"/>
    <n v="2008"/>
    <x v="0"/>
    <d v="2008-05-13T00:00:00"/>
    <s v="Kolkata Knight Riders"/>
    <s v="Delhi Daredevils"/>
    <m/>
    <s v="Kolkata Knight Riders"/>
    <x v="1"/>
    <s v="Win"/>
    <x v="0"/>
    <x v="26"/>
    <x v="3"/>
    <s v="Kolkata"/>
  </r>
  <r>
    <n v="336018"/>
    <n v="2008"/>
    <x v="0"/>
    <d v="2008-05-14T00:00:00"/>
    <s v="Mumbai Indians"/>
    <s v="Chennai Super Kings"/>
    <m/>
    <s v="Mumbai Indians"/>
    <x v="0"/>
    <s v="Win"/>
    <x v="7"/>
    <x v="14"/>
    <x v="4"/>
    <s v="Mumbai"/>
  </r>
  <r>
    <n v="336020"/>
    <n v="2008"/>
    <x v="0"/>
    <d v="2008-05-15T00:00:00"/>
    <s v="Delhi Daredevils"/>
    <s v="Deccan Chargers"/>
    <m/>
    <s v="Deccan Chargers"/>
    <x v="0"/>
    <s v="Win"/>
    <x v="2"/>
    <x v="27"/>
    <x v="2"/>
    <s v="Delhi"/>
  </r>
  <r>
    <n v="336021"/>
    <n v="2008"/>
    <x v="0"/>
    <d v="2008-05-16T00:00:00"/>
    <s v="Mumbai Indians"/>
    <s v="Kolkata Knight Riders"/>
    <m/>
    <s v="Mumbai Indians"/>
    <x v="0"/>
    <s v="Win"/>
    <x v="7"/>
    <x v="20"/>
    <x v="4"/>
    <s v="Mumbai"/>
  </r>
  <r>
    <n v="336022"/>
    <n v="2008"/>
    <x v="0"/>
    <d v="2008-05-17T00:00:00"/>
    <s v="Delhi Daredevils"/>
    <s v="Kings XI Punjab"/>
    <m/>
    <s v="Delhi Daredevils"/>
    <x v="1"/>
    <s v="Win"/>
    <x v="5"/>
    <x v="28"/>
    <x v="2"/>
    <s v="Delhi"/>
  </r>
  <r>
    <n v="336023"/>
    <n v="2008"/>
    <x v="0"/>
    <d v="2008-05-17T00:00:00"/>
    <s v="Rajasthan Royals"/>
    <s v="Royal Challengers Bangalore"/>
    <m/>
    <s v="Royal Challengers Bangalore"/>
    <x v="0"/>
    <s v="Win"/>
    <x v="4"/>
    <x v="29"/>
    <x v="5"/>
    <s v="Jaipur"/>
  </r>
  <r>
    <n v="336025"/>
    <n v="2008"/>
    <x v="0"/>
    <d v="2008-05-18T00:00:00"/>
    <s v="Kolkata Knight Riders"/>
    <s v="Chennai Super Kings"/>
    <m/>
    <s v="Kolkata Knight Riders"/>
    <x v="1"/>
    <s v="Win"/>
    <x v="1"/>
    <x v="30"/>
    <x v="3"/>
    <s v="Kolkata"/>
  </r>
  <r>
    <n v="336024"/>
    <n v="2008"/>
    <x v="0"/>
    <d v="2008-05-18T00:00:00"/>
    <s v="Deccan Chargers"/>
    <s v="Mumbai Indians"/>
    <m/>
    <s v="Deccan Chargers"/>
    <x v="0"/>
    <s v="Win"/>
    <x v="7"/>
    <x v="31"/>
    <x v="6"/>
    <s v="Hyderabad"/>
  </r>
  <r>
    <n v="336026"/>
    <n v="2008"/>
    <x v="0"/>
    <d v="2008-05-19T00:00:00"/>
    <s v="Royal Challengers Bangalore"/>
    <s v="Delhi Daredevils"/>
    <m/>
    <s v="Delhi Daredevils"/>
    <x v="0"/>
    <s v="Win"/>
    <x v="2"/>
    <x v="32"/>
    <x v="0"/>
    <s v="Bangalore"/>
  </r>
  <r>
    <n v="336027"/>
    <n v="2008"/>
    <x v="0"/>
    <d v="2008-05-20T00:00:00"/>
    <s v="Kolkata Knight Riders"/>
    <s v="Rajasthan Royals"/>
    <m/>
    <s v="Rajasthan Royals"/>
    <x v="0"/>
    <s v="Win"/>
    <x v="4"/>
    <x v="8"/>
    <x v="3"/>
    <s v="Kolkata"/>
  </r>
  <r>
    <n v="336029"/>
    <n v="2008"/>
    <x v="0"/>
    <d v="2008-05-21T00:00:00"/>
    <s v="Chennai Super Kings"/>
    <s v="Royal Challengers Bangalore"/>
    <m/>
    <s v="Royal Challengers Bangalore"/>
    <x v="1"/>
    <s v="Win"/>
    <x v="3"/>
    <x v="33"/>
    <x v="7"/>
    <s v="Chennai"/>
  </r>
  <r>
    <n v="336028"/>
    <n v="2008"/>
    <x v="0"/>
    <d v="2008-05-21T00:00:00"/>
    <s v="Mumbai Indians"/>
    <s v="Kings XI Punjab"/>
    <m/>
    <s v="Mumbai Indians"/>
    <x v="0"/>
    <s v="Win"/>
    <x v="5"/>
    <x v="16"/>
    <x v="4"/>
    <s v="Mumbai"/>
  </r>
  <r>
    <n v="336031"/>
    <n v="2008"/>
    <x v="0"/>
    <d v="2008-05-23T00:00:00"/>
    <s v="Kings XI Punjab"/>
    <s v="Deccan Chargers"/>
    <m/>
    <s v="Kings XI Punjab"/>
    <x v="0"/>
    <s v="Win"/>
    <x v="5"/>
    <x v="16"/>
    <x v="1"/>
    <s v="Chandigarh"/>
  </r>
  <r>
    <n v="336033"/>
    <n v="2008"/>
    <x v="0"/>
    <d v="2008-05-24T00:00:00"/>
    <s v="Chennai Super Kings"/>
    <s v="Rajasthan Royals"/>
    <m/>
    <s v="Rajasthan Royals"/>
    <x v="1"/>
    <s v="Win"/>
    <x v="4"/>
    <x v="34"/>
    <x v="7"/>
    <s v="Chennai"/>
  </r>
  <r>
    <n v="336032"/>
    <n v="2008"/>
    <x v="0"/>
    <d v="2008-05-24T00:00:00"/>
    <s v="Delhi Daredevils"/>
    <s v="Mumbai Indians"/>
    <m/>
    <s v="Delhi Daredevils"/>
    <x v="0"/>
    <s v="Win"/>
    <x v="2"/>
    <x v="35"/>
    <x v="2"/>
    <s v="Delhi"/>
  </r>
  <r>
    <n v="336002"/>
    <n v="2008"/>
    <x v="0"/>
    <d v="2008-05-25T00:00:00"/>
    <s v="Deccan Chargers"/>
    <s v="Royal Challengers Bangalore"/>
    <m/>
    <s v="Deccan Chargers"/>
    <x v="1"/>
    <s v="Win"/>
    <x v="3"/>
    <x v="36"/>
    <x v="6"/>
    <s v="Hyderabad"/>
  </r>
  <r>
    <n v="336035"/>
    <n v="2008"/>
    <x v="0"/>
    <d v="2008-05-25T00:00:00"/>
    <s v="Kolkata Knight Riders"/>
    <s v="Kings XI Punjab"/>
    <m/>
    <s v="Kings XI Punjab"/>
    <x v="1"/>
    <s v="Win"/>
    <x v="0"/>
    <x v="37"/>
    <x v="3"/>
    <s v="Kolkata"/>
  </r>
  <r>
    <n v="336036"/>
    <n v="2008"/>
    <x v="0"/>
    <d v="2008-05-26T00:00:00"/>
    <s v="Rajasthan Royals"/>
    <s v="Mumbai Indians"/>
    <m/>
    <s v="Rajasthan Royals"/>
    <x v="0"/>
    <s v="Win"/>
    <x v="4"/>
    <x v="21"/>
    <x v="5"/>
    <s v="Jaipur"/>
  </r>
  <r>
    <n v="336037"/>
    <n v="2008"/>
    <x v="0"/>
    <d v="2008-05-27T00:00:00"/>
    <s v="Deccan Chargers"/>
    <s v="Chennai Super Kings"/>
    <m/>
    <s v="Deccan Chargers"/>
    <x v="1"/>
    <s v="Win"/>
    <x v="1"/>
    <x v="38"/>
    <x v="6"/>
    <s v="Hyderabad"/>
  </r>
  <r>
    <n v="336019"/>
    <n v="2008"/>
    <x v="0"/>
    <d v="2008-05-28T00:00:00"/>
    <s v="Kings XI Punjab"/>
    <s v="Rajasthan Royals"/>
    <m/>
    <s v="Rajasthan Royals"/>
    <x v="0"/>
    <s v="Win"/>
    <x v="5"/>
    <x v="16"/>
    <x v="1"/>
    <s v="Chandigarh"/>
  </r>
  <r>
    <n v="336012"/>
    <n v="2008"/>
    <x v="0"/>
    <d v="2008-05-28T00:00:00"/>
    <s v="Royal Challengers Bangalore"/>
    <s v="Mumbai Indians"/>
    <m/>
    <s v="Mumbai Indians"/>
    <x v="0"/>
    <s v="Win"/>
    <x v="7"/>
    <x v="39"/>
    <x v="0"/>
    <s v="Bangalore"/>
  </r>
  <r>
    <n v="336038"/>
    <n v="2008"/>
    <x v="0"/>
    <d v="2008-05-30T00:00:00"/>
    <s v="Delhi Daredevils"/>
    <s v="Rajasthan Royals"/>
    <m/>
    <s v="Delhi Daredevils"/>
    <x v="0"/>
    <s v="Win"/>
    <x v="4"/>
    <x v="5"/>
    <x v="4"/>
    <s v="Mumbai"/>
  </r>
  <r>
    <n v="336039"/>
    <n v="2008"/>
    <x v="0"/>
    <d v="2008-05-31T00:00:00"/>
    <s v="Chennai Super Kings"/>
    <s v="Kings XI Punjab"/>
    <m/>
    <s v="Kings XI Punjab"/>
    <x v="1"/>
    <s v="Win"/>
    <x v="1"/>
    <x v="30"/>
    <x v="4"/>
    <s v="Mumbai"/>
  </r>
  <r>
    <n v="336040"/>
    <n v="2008"/>
    <x v="0"/>
    <d v="2008-06-01T00:00:00"/>
    <s v="Chennai Super Kings"/>
    <s v="Rajasthan Royals"/>
    <m/>
    <s v="Rajasthan Royals"/>
    <x v="0"/>
    <s v="Win"/>
    <x v="4"/>
    <x v="8"/>
    <x v="8"/>
    <s v="Mumbai"/>
  </r>
  <r>
    <n v="392182"/>
    <n v="2009"/>
    <x v="1"/>
    <d v="2009-04-18T00:00:00"/>
    <s v="Royal Challengers Bangalore"/>
    <s v="Rajasthan Royals"/>
    <m/>
    <s v="Royal Challengers Bangalore"/>
    <x v="1"/>
    <s v="Win"/>
    <x v="3"/>
    <x v="40"/>
    <x v="9"/>
    <s v="Cape Town"/>
  </r>
  <r>
    <n v="392181"/>
    <n v="2009"/>
    <x v="1"/>
    <d v="2009-04-18T00:00:00"/>
    <s v="Chennai Super Kings"/>
    <s v="Mumbai Indians"/>
    <m/>
    <s v="Chennai Super Kings"/>
    <x v="0"/>
    <s v="Win"/>
    <x v="7"/>
    <x v="41"/>
    <x v="9"/>
    <s v="Cape Town"/>
  </r>
  <r>
    <n v="392184"/>
    <n v="2009"/>
    <x v="1"/>
    <d v="2009-04-19T00:00:00"/>
    <s v="Deccan Chargers"/>
    <s v="Kolkata Knight Riders"/>
    <m/>
    <s v="Kolkata Knight Riders"/>
    <x v="1"/>
    <s v="Win"/>
    <x v="6"/>
    <x v="42"/>
    <x v="9"/>
    <s v="Cape Town"/>
  </r>
  <r>
    <n v="392183"/>
    <n v="2009"/>
    <x v="1"/>
    <d v="2009-04-19T00:00:00"/>
    <s v="Delhi Daredevils"/>
    <s v="Kings XI Punjab"/>
    <m/>
    <s v="Delhi Daredevils"/>
    <x v="0"/>
    <s v="Win"/>
    <x v="2"/>
    <x v="43"/>
    <x v="9"/>
    <s v="Cape Town"/>
  </r>
  <r>
    <n v="392185"/>
    <n v="2009"/>
    <x v="1"/>
    <d v="2009-04-20T00:00:00"/>
    <s v="Royal Challengers Bangalore"/>
    <s v="Chennai Super Kings"/>
    <m/>
    <s v="Chennai Super Kings"/>
    <x v="1"/>
    <s v="Win"/>
    <x v="1"/>
    <x v="44"/>
    <x v="10"/>
    <s v="Port Elizabeth"/>
  </r>
  <r>
    <n v="392186"/>
    <n v="2009"/>
    <x v="1"/>
    <d v="2009-04-21T00:00:00"/>
    <s v="Kings XI Punjab"/>
    <s v="Kolkata Knight Riders"/>
    <m/>
    <s v="Kolkata Knight Riders"/>
    <x v="0"/>
    <s v="Win"/>
    <x v="0"/>
    <x v="45"/>
    <x v="11"/>
    <s v="Durban"/>
  </r>
  <r>
    <n v="392188"/>
    <n v="2009"/>
    <x v="1"/>
    <d v="2009-04-22T00:00:00"/>
    <s v="Royal Challengers Bangalore"/>
    <s v="Deccan Chargers"/>
    <m/>
    <s v="Deccan Chargers"/>
    <x v="1"/>
    <s v="Win"/>
    <x v="6"/>
    <x v="12"/>
    <x v="9"/>
    <s v="Cape Town"/>
  </r>
  <r>
    <n v="392190"/>
    <n v="2009"/>
    <x v="1"/>
    <d v="2009-04-23T00:00:00"/>
    <s v="Kolkata Knight Riders"/>
    <s v="Rajasthan Royals"/>
    <m/>
    <s v="Kolkata Knight Riders"/>
    <x v="0"/>
    <s v="tie"/>
    <x v="8"/>
    <x v="8"/>
    <x v="9"/>
    <s v="Cape Town"/>
  </r>
  <r>
    <n v="392189"/>
    <n v="2009"/>
    <x v="1"/>
    <d v="2009-04-23T00:00:00"/>
    <s v="Chennai Super Kings"/>
    <s v="Delhi Daredevils"/>
    <m/>
    <s v="Delhi Daredevils"/>
    <x v="1"/>
    <s v="Win"/>
    <x v="2"/>
    <x v="46"/>
    <x v="11"/>
    <s v="Durban"/>
  </r>
  <r>
    <n v="392191"/>
    <n v="2009"/>
    <x v="1"/>
    <d v="2009-04-24T00:00:00"/>
    <s v="Royal Challengers Bangalore"/>
    <s v="Kings XI Punjab"/>
    <m/>
    <s v="Royal Challengers Bangalore"/>
    <x v="1"/>
    <s v="Win"/>
    <x v="5"/>
    <x v="47"/>
    <x v="11"/>
    <s v="Durban"/>
  </r>
  <r>
    <n v="392192"/>
    <n v="2009"/>
    <x v="1"/>
    <d v="2009-04-25T00:00:00"/>
    <s v="Deccan Chargers"/>
    <s v="Mumbai Indians"/>
    <m/>
    <s v="Deccan Chargers"/>
    <x v="1"/>
    <s v="Win"/>
    <x v="6"/>
    <x v="48"/>
    <x v="11"/>
    <s v="Durban"/>
  </r>
  <r>
    <n v="392195"/>
    <n v="2009"/>
    <x v="1"/>
    <d v="2009-04-26T00:00:00"/>
    <s v="Kings XI Punjab"/>
    <s v="Rajasthan Royals"/>
    <m/>
    <s v="Kings XI Punjab"/>
    <x v="1"/>
    <s v="Win"/>
    <x v="5"/>
    <x v="9"/>
    <x v="9"/>
    <s v="Cape Town"/>
  </r>
  <r>
    <n v="392194"/>
    <n v="2009"/>
    <x v="1"/>
    <d v="2009-04-26T00:00:00"/>
    <s v="Royal Challengers Bangalore"/>
    <s v="Delhi Daredevils"/>
    <m/>
    <s v="Royal Challengers Bangalore"/>
    <x v="1"/>
    <s v="Win"/>
    <x v="2"/>
    <x v="49"/>
    <x v="10"/>
    <s v="Port Elizabeth"/>
  </r>
  <r>
    <n v="392196"/>
    <n v="2009"/>
    <x v="1"/>
    <d v="2009-04-27T00:00:00"/>
    <s v="Chennai Super Kings"/>
    <s v="Deccan Chargers"/>
    <m/>
    <s v="Deccan Chargers"/>
    <x v="0"/>
    <s v="Win"/>
    <x v="6"/>
    <x v="50"/>
    <x v="11"/>
    <s v="Durban"/>
  </r>
  <r>
    <n v="392197"/>
    <n v="2009"/>
    <x v="1"/>
    <d v="2009-04-27T00:00:00"/>
    <s v="Kolkata Knight Riders"/>
    <s v="Mumbai Indians"/>
    <m/>
    <s v="Mumbai Indians"/>
    <x v="1"/>
    <s v="Win"/>
    <x v="7"/>
    <x v="41"/>
    <x v="10"/>
    <s v="Port Elizabeth"/>
  </r>
  <r>
    <n v="392198"/>
    <n v="2009"/>
    <x v="1"/>
    <d v="2009-04-28T00:00:00"/>
    <s v="Delhi Daredevils"/>
    <s v="Rajasthan Royals"/>
    <m/>
    <s v="Delhi Daredevils"/>
    <x v="1"/>
    <s v="Win"/>
    <x v="4"/>
    <x v="8"/>
    <x v="12"/>
    <s v="Centurion"/>
  </r>
  <r>
    <n v="392199"/>
    <n v="2009"/>
    <x v="1"/>
    <d v="2009-04-29T00:00:00"/>
    <s v="Royal Challengers Bangalore"/>
    <s v="Kolkata Knight Riders"/>
    <m/>
    <s v="Kolkata Knight Riders"/>
    <x v="1"/>
    <s v="Win"/>
    <x v="3"/>
    <x v="4"/>
    <x v="11"/>
    <s v="Durban"/>
  </r>
  <r>
    <n v="392200"/>
    <n v="2009"/>
    <x v="1"/>
    <d v="2009-04-29T00:00:00"/>
    <s v="Kings XI Punjab"/>
    <s v="Mumbai Indians"/>
    <m/>
    <s v="Kings XI Punjab"/>
    <x v="1"/>
    <s v="Win"/>
    <x v="5"/>
    <x v="9"/>
    <x v="11"/>
    <s v="Durban"/>
  </r>
  <r>
    <n v="392202"/>
    <n v="2009"/>
    <x v="1"/>
    <d v="2009-04-30T00:00:00"/>
    <s v="Chennai Super Kings"/>
    <s v="Rajasthan Royals"/>
    <m/>
    <s v="Rajasthan Royals"/>
    <x v="0"/>
    <s v="Win"/>
    <x v="1"/>
    <x v="38"/>
    <x v="12"/>
    <s v="Centurion"/>
  </r>
  <r>
    <n v="392201"/>
    <n v="2009"/>
    <x v="1"/>
    <d v="2009-04-30T00:00:00"/>
    <s v="Deccan Chargers"/>
    <s v="Delhi Daredevils"/>
    <m/>
    <s v="Delhi Daredevils"/>
    <x v="0"/>
    <s v="Win"/>
    <x v="2"/>
    <x v="51"/>
    <x v="12"/>
    <s v="Centurion"/>
  </r>
  <r>
    <n v="392204"/>
    <n v="2009"/>
    <x v="1"/>
    <d v="2009-05-01T00:00:00"/>
    <s v="Royal Challengers Bangalore"/>
    <s v="Kings XI Punjab"/>
    <m/>
    <s v="Royal Challengers Bangalore"/>
    <x v="1"/>
    <s v="Win"/>
    <x v="3"/>
    <x v="52"/>
    <x v="11"/>
    <s v="Durban"/>
  </r>
  <r>
    <n v="392203"/>
    <n v="2009"/>
    <x v="1"/>
    <d v="2009-05-01T00:00:00"/>
    <s v="Kolkata Knight Riders"/>
    <s v="Mumbai Indians"/>
    <m/>
    <s v="Mumbai Indians"/>
    <x v="1"/>
    <s v="Win"/>
    <x v="7"/>
    <x v="53"/>
    <x v="13"/>
    <s v="East London"/>
  </r>
  <r>
    <n v="392206"/>
    <n v="2009"/>
    <x v="1"/>
    <d v="2009-05-02T00:00:00"/>
    <s v="Chennai Super Kings"/>
    <s v="Delhi Daredevils"/>
    <m/>
    <s v="Delhi Daredevils"/>
    <x v="0"/>
    <s v="Win"/>
    <x v="1"/>
    <x v="54"/>
    <x v="14"/>
    <s v="Johannesburg"/>
  </r>
  <r>
    <n v="392205"/>
    <n v="2009"/>
    <x v="1"/>
    <d v="2009-05-02T00:00:00"/>
    <s v="Deccan Chargers"/>
    <s v="Rajasthan Royals"/>
    <m/>
    <s v="Deccan Chargers"/>
    <x v="1"/>
    <s v="Win"/>
    <x v="4"/>
    <x v="8"/>
    <x v="10"/>
    <s v="Port Elizabeth"/>
  </r>
  <r>
    <n v="392207"/>
    <n v="2009"/>
    <x v="1"/>
    <d v="2009-05-03T00:00:00"/>
    <s v="Kings XI Punjab"/>
    <s v="Kolkata Knight Riders"/>
    <m/>
    <s v="Kolkata Knight Riders"/>
    <x v="1"/>
    <s v="Win"/>
    <x v="5"/>
    <x v="28"/>
    <x v="10"/>
    <s v="Port Elizabeth"/>
  </r>
  <r>
    <n v="392208"/>
    <n v="2009"/>
    <x v="1"/>
    <d v="2009-05-03T00:00:00"/>
    <s v="Royal Challengers Bangalore"/>
    <s v="Mumbai Indians"/>
    <m/>
    <s v="Mumbai Indians"/>
    <x v="1"/>
    <s v="Win"/>
    <x v="3"/>
    <x v="55"/>
    <x v="14"/>
    <s v="Johannesburg"/>
  </r>
  <r>
    <n v="392209"/>
    <n v="2009"/>
    <x v="1"/>
    <d v="2009-05-04T00:00:00"/>
    <s v="Chennai Super Kings"/>
    <s v="Deccan Chargers"/>
    <m/>
    <s v="Chennai Super Kings"/>
    <x v="1"/>
    <s v="Win"/>
    <x v="1"/>
    <x v="13"/>
    <x v="13"/>
    <s v="East London"/>
  </r>
  <r>
    <n v="392210"/>
    <n v="2009"/>
    <x v="1"/>
    <d v="2009-05-05T00:00:00"/>
    <s v="Kings XI Punjab"/>
    <s v="Rajasthan Royals"/>
    <m/>
    <s v="Kings XI Punjab"/>
    <x v="0"/>
    <s v="Win"/>
    <x v="4"/>
    <x v="29"/>
    <x v="11"/>
    <s v="Durban"/>
  </r>
  <r>
    <n v="392211"/>
    <n v="2009"/>
    <x v="1"/>
    <d v="2009-05-05T00:00:00"/>
    <s v="Delhi Daredevils"/>
    <s v="Kolkata Knight Riders"/>
    <m/>
    <s v="Kolkata Knight Riders"/>
    <x v="1"/>
    <s v="Win"/>
    <x v="2"/>
    <x v="56"/>
    <x v="11"/>
    <s v="Durban"/>
  </r>
  <r>
    <n v="392212"/>
    <n v="2009"/>
    <x v="1"/>
    <d v="2009-05-06T00:00:00"/>
    <s v="Deccan Chargers"/>
    <s v="Mumbai Indians"/>
    <m/>
    <s v="Deccan Chargers"/>
    <x v="1"/>
    <s v="Win"/>
    <x v="6"/>
    <x v="57"/>
    <x v="12"/>
    <s v="Centurion"/>
  </r>
  <r>
    <n v="392213"/>
    <n v="2009"/>
    <x v="1"/>
    <d v="2009-05-07T00:00:00"/>
    <s v="Royal Challengers Bangalore"/>
    <s v="Rajasthan Royals"/>
    <m/>
    <s v="Rajasthan Royals"/>
    <x v="0"/>
    <s v="Win"/>
    <x v="4"/>
    <x v="58"/>
    <x v="12"/>
    <s v="Centurion"/>
  </r>
  <r>
    <n v="392214"/>
    <n v="2009"/>
    <x v="1"/>
    <d v="2009-05-07T00:00:00"/>
    <s v="Chennai Super Kings"/>
    <s v="Kings XI Punjab"/>
    <m/>
    <s v="Chennai Super Kings"/>
    <x v="1"/>
    <s v="Win"/>
    <x v="1"/>
    <x v="7"/>
    <x v="12"/>
    <s v="Centurion"/>
  </r>
  <r>
    <n v="392215"/>
    <n v="2009"/>
    <x v="1"/>
    <d v="2009-05-08T00:00:00"/>
    <s v="Delhi Daredevils"/>
    <s v="Mumbai Indians"/>
    <m/>
    <s v="Mumbai Indians"/>
    <x v="1"/>
    <s v="Win"/>
    <x v="2"/>
    <x v="23"/>
    <x v="13"/>
    <s v="East London"/>
  </r>
  <r>
    <n v="392216"/>
    <n v="2009"/>
    <x v="1"/>
    <d v="2009-05-09T00:00:00"/>
    <s v="Deccan Chargers"/>
    <s v="Kings XI Punjab"/>
    <m/>
    <s v="Kings XI Punjab"/>
    <x v="0"/>
    <s v="Win"/>
    <x v="5"/>
    <x v="28"/>
    <x v="15"/>
    <s v="Kimberley"/>
  </r>
  <r>
    <n v="392217"/>
    <n v="2009"/>
    <x v="1"/>
    <d v="2009-05-09T00:00:00"/>
    <s v="Chennai Super Kings"/>
    <s v="Rajasthan Royals"/>
    <m/>
    <s v="Rajasthan Royals"/>
    <x v="1"/>
    <s v="Win"/>
    <x v="1"/>
    <x v="59"/>
    <x v="15"/>
    <s v="Kimberley"/>
  </r>
  <r>
    <n v="392218"/>
    <n v="2009"/>
    <x v="1"/>
    <d v="2009-05-10T00:00:00"/>
    <s v="Royal Challengers Bangalore"/>
    <s v="Mumbai Indians"/>
    <m/>
    <s v="Mumbai Indians"/>
    <x v="1"/>
    <s v="Win"/>
    <x v="7"/>
    <x v="53"/>
    <x v="10"/>
    <s v="Port Elizabeth"/>
  </r>
  <r>
    <n v="392219"/>
    <n v="2009"/>
    <x v="1"/>
    <d v="2009-05-10T00:00:00"/>
    <s v="Delhi Daredevils"/>
    <s v="Kolkata Knight Riders"/>
    <m/>
    <s v="Delhi Daredevils"/>
    <x v="0"/>
    <s v="Win"/>
    <x v="2"/>
    <x v="27"/>
    <x v="14"/>
    <s v="Johannesburg"/>
  </r>
  <r>
    <n v="392220"/>
    <n v="2009"/>
    <x v="1"/>
    <d v="2009-05-11T00:00:00"/>
    <s v="Deccan Chargers"/>
    <s v="Rajasthan Royals"/>
    <m/>
    <s v="Deccan Chargers"/>
    <x v="1"/>
    <s v="Win"/>
    <x v="6"/>
    <x v="60"/>
    <x v="15"/>
    <s v="Kimberley"/>
  </r>
  <r>
    <n v="392221"/>
    <n v="2009"/>
    <x v="1"/>
    <d v="2009-05-12T00:00:00"/>
    <s v="Royal Challengers Bangalore"/>
    <s v="Kolkata Knight Riders"/>
    <m/>
    <s v="Royal Challengers Bangalore"/>
    <x v="0"/>
    <s v="Win"/>
    <x v="3"/>
    <x v="61"/>
    <x v="12"/>
    <s v="Centurion"/>
  </r>
  <r>
    <n v="392222"/>
    <n v="2009"/>
    <x v="1"/>
    <d v="2009-05-12T00:00:00"/>
    <s v="Kings XI Punjab"/>
    <s v="Mumbai Indians"/>
    <m/>
    <s v="Kings XI Punjab"/>
    <x v="1"/>
    <s v="Win"/>
    <x v="7"/>
    <x v="62"/>
    <x v="12"/>
    <s v="Centurion"/>
  </r>
  <r>
    <n v="392223"/>
    <n v="2009"/>
    <x v="1"/>
    <d v="2009-05-13T00:00:00"/>
    <s v="Deccan Chargers"/>
    <s v="Delhi Daredevils"/>
    <m/>
    <s v="Deccan Chargers"/>
    <x v="0"/>
    <s v="Win"/>
    <x v="2"/>
    <x v="63"/>
    <x v="11"/>
    <s v="Durban"/>
  </r>
  <r>
    <n v="392225"/>
    <n v="2009"/>
    <x v="1"/>
    <d v="2009-05-14T00:00:00"/>
    <s v="Mumbai Indians"/>
    <s v="Rajasthan Royals"/>
    <m/>
    <s v="Rajasthan Royals"/>
    <x v="1"/>
    <s v="Win"/>
    <x v="4"/>
    <x v="64"/>
    <x v="11"/>
    <s v="Durban"/>
  </r>
  <r>
    <n v="392224"/>
    <n v="2009"/>
    <x v="1"/>
    <d v="2009-05-14T00:00:00"/>
    <s v="Royal Challengers Bangalore"/>
    <s v="Chennai Super Kings"/>
    <m/>
    <s v="Chennai Super Kings"/>
    <x v="1"/>
    <s v="Win"/>
    <x v="3"/>
    <x v="61"/>
    <x v="11"/>
    <s v="Durban"/>
  </r>
  <r>
    <n v="392226"/>
    <n v="2009"/>
    <x v="1"/>
    <d v="2009-05-15T00:00:00"/>
    <s v="Delhi Daredevils"/>
    <s v="Kings XI Punjab"/>
    <m/>
    <s v="Kings XI Punjab"/>
    <x v="0"/>
    <s v="Win"/>
    <x v="5"/>
    <x v="65"/>
    <x v="16"/>
    <s v="Bloemfontein"/>
  </r>
  <r>
    <n v="392227"/>
    <n v="2009"/>
    <x v="1"/>
    <d v="2009-05-16T00:00:00"/>
    <s v="Chennai Super Kings"/>
    <s v="Mumbai Indians"/>
    <m/>
    <s v="Mumbai Indians"/>
    <x v="1"/>
    <s v="Win"/>
    <x v="1"/>
    <x v="7"/>
    <x v="10"/>
    <s v="Port Elizabeth"/>
  </r>
  <r>
    <n v="392228"/>
    <n v="2009"/>
    <x v="1"/>
    <d v="2009-05-16T00:00:00"/>
    <s v="Deccan Chargers"/>
    <s v="Kolkata Knight Riders"/>
    <m/>
    <s v="Deccan Chargers"/>
    <x v="0"/>
    <s v="Win"/>
    <x v="6"/>
    <x v="57"/>
    <x v="14"/>
    <s v="Johannesburg"/>
  </r>
  <r>
    <n v="392229"/>
    <n v="2009"/>
    <x v="1"/>
    <d v="2009-05-17T00:00:00"/>
    <s v="Deccan Chargers"/>
    <s v="Kings XI Punjab"/>
    <m/>
    <s v="Deccan Chargers"/>
    <x v="0"/>
    <s v="Win"/>
    <x v="5"/>
    <x v="52"/>
    <x v="14"/>
    <s v="Johannesburg"/>
  </r>
  <r>
    <n v="392230"/>
    <n v="2009"/>
    <x v="1"/>
    <d v="2009-05-17T00:00:00"/>
    <s v="Delhi Daredevils"/>
    <s v="Rajasthan Royals"/>
    <m/>
    <s v="Delhi Daredevils"/>
    <x v="1"/>
    <s v="Win"/>
    <x v="2"/>
    <x v="46"/>
    <x v="16"/>
    <s v="Bloemfontein"/>
  </r>
  <r>
    <n v="392231"/>
    <n v="2009"/>
    <x v="1"/>
    <d v="2009-05-18T00:00:00"/>
    <s v="Chennai Super Kings"/>
    <s v="Kolkata Knight Riders"/>
    <m/>
    <s v="Chennai Super Kings"/>
    <x v="1"/>
    <s v="Win"/>
    <x v="0"/>
    <x v="66"/>
    <x v="12"/>
    <s v="Centurion"/>
  </r>
  <r>
    <n v="392232"/>
    <n v="2009"/>
    <x v="1"/>
    <d v="2009-05-19T00:00:00"/>
    <s v="Royal Challengers Bangalore"/>
    <s v="Delhi Daredevils"/>
    <m/>
    <s v="Delhi Daredevils"/>
    <x v="1"/>
    <s v="Win"/>
    <x v="3"/>
    <x v="55"/>
    <x v="14"/>
    <s v="Johannesburg"/>
  </r>
  <r>
    <n v="392234"/>
    <n v="2009"/>
    <x v="1"/>
    <d v="2009-05-20T00:00:00"/>
    <s v="Chennai Super Kings"/>
    <s v="Kings XI Punjab"/>
    <m/>
    <s v="Chennai Super Kings"/>
    <x v="1"/>
    <s v="Win"/>
    <x v="1"/>
    <x v="44"/>
    <x v="11"/>
    <s v="Durban"/>
  </r>
  <r>
    <n v="392233"/>
    <n v="2009"/>
    <x v="1"/>
    <d v="2009-05-20T00:00:00"/>
    <s v="Kolkata Knight Riders"/>
    <s v="Rajasthan Royals"/>
    <m/>
    <s v="Kolkata Knight Riders"/>
    <x v="0"/>
    <s v="Win"/>
    <x v="0"/>
    <x v="67"/>
    <x v="11"/>
    <s v="Durban"/>
  </r>
  <r>
    <n v="392236"/>
    <n v="2009"/>
    <x v="1"/>
    <d v="2009-05-21T00:00:00"/>
    <s v="Royal Challengers Bangalore"/>
    <s v="Deccan Chargers"/>
    <m/>
    <s v="Royal Challengers Bangalore"/>
    <x v="1"/>
    <s v="Win"/>
    <x v="3"/>
    <x v="68"/>
    <x v="12"/>
    <s v="Centurion"/>
  </r>
  <r>
    <n v="392235"/>
    <n v="2009"/>
    <x v="1"/>
    <d v="2009-05-21T00:00:00"/>
    <s v="Delhi Daredevils"/>
    <s v="Mumbai Indians"/>
    <m/>
    <s v="Delhi Daredevils"/>
    <x v="0"/>
    <s v="Win"/>
    <x v="2"/>
    <x v="6"/>
    <x v="12"/>
    <s v="Centurion"/>
  </r>
  <r>
    <n v="392237"/>
    <n v="2009"/>
    <x v="1"/>
    <d v="2009-05-22T00:00:00"/>
    <s v="Delhi Daredevils"/>
    <s v="Deccan Chargers"/>
    <m/>
    <s v="Deccan Chargers"/>
    <x v="0"/>
    <s v="Win"/>
    <x v="6"/>
    <x v="12"/>
    <x v="12"/>
    <s v="Centurion"/>
  </r>
  <r>
    <n v="392238"/>
    <n v="2009"/>
    <x v="1"/>
    <d v="2009-05-23T00:00:00"/>
    <s v="Royal Challengers Bangalore"/>
    <s v="Chennai Super Kings"/>
    <m/>
    <s v="Royal Challengers Bangalore"/>
    <x v="0"/>
    <s v="Win"/>
    <x v="3"/>
    <x v="68"/>
    <x v="14"/>
    <s v="Johannesburg"/>
  </r>
  <r>
    <n v="392239"/>
    <n v="2009"/>
    <x v="1"/>
    <d v="2009-05-24T00:00:00"/>
    <s v="Royal Challengers Bangalore"/>
    <s v="Deccan Chargers"/>
    <m/>
    <s v="Royal Challengers Bangalore"/>
    <x v="0"/>
    <s v="Win"/>
    <x v="6"/>
    <x v="33"/>
    <x v="14"/>
    <s v="Johannesburg"/>
  </r>
  <r>
    <n v="419106"/>
    <n v="2010"/>
    <x v="2"/>
    <d v="2010-03-12T00:00:00"/>
    <s v="Deccan Chargers"/>
    <s v="Kolkata Knight Riders"/>
    <m/>
    <s v="Deccan Chargers"/>
    <x v="0"/>
    <s v="Win"/>
    <x v="0"/>
    <x v="69"/>
    <x v="8"/>
    <s v="Mumbai"/>
  </r>
  <r>
    <n v="419108"/>
    <n v="2010"/>
    <x v="2"/>
    <d v="2010-03-13T00:00:00"/>
    <s v="Kings XI Punjab"/>
    <s v="Delhi Daredevils"/>
    <m/>
    <s v="Delhi Daredevils"/>
    <x v="0"/>
    <s v="Win"/>
    <x v="2"/>
    <x v="56"/>
    <x v="1"/>
    <s v="Chandigarh"/>
  </r>
  <r>
    <n v="419107"/>
    <n v="2010"/>
    <x v="2"/>
    <d v="2010-03-13T00:00:00"/>
    <s v="Mumbai Indians"/>
    <s v="Rajasthan Royals"/>
    <m/>
    <s v="Mumbai Indians"/>
    <x v="1"/>
    <s v="Win"/>
    <x v="7"/>
    <x v="8"/>
    <x v="17"/>
    <s v="Mumbai"/>
  </r>
  <r>
    <n v="419110"/>
    <n v="2010"/>
    <x v="2"/>
    <d v="2010-03-14T00:00:00"/>
    <s v="Chennai Super Kings"/>
    <s v="Deccan Chargers"/>
    <m/>
    <s v="Deccan Chargers"/>
    <x v="1"/>
    <s v="Win"/>
    <x v="6"/>
    <x v="70"/>
    <x v="7"/>
    <s v="Chennai"/>
  </r>
  <r>
    <n v="419109"/>
    <n v="2010"/>
    <x v="2"/>
    <d v="2010-03-14T00:00:00"/>
    <s v="Kolkata Knight Riders"/>
    <s v="Royal Challengers Bangalore"/>
    <m/>
    <s v="Kolkata Knight Riders"/>
    <x v="0"/>
    <s v="Win"/>
    <x v="0"/>
    <x v="71"/>
    <x v="3"/>
    <s v="Kolkata"/>
  </r>
  <r>
    <n v="419111"/>
    <n v="2010"/>
    <x v="2"/>
    <d v="2010-03-15T00:00:00"/>
    <s v="Rajasthan Royals"/>
    <s v="Delhi Daredevils"/>
    <m/>
    <s v="Delhi Daredevils"/>
    <x v="0"/>
    <s v="Win"/>
    <x v="2"/>
    <x v="6"/>
    <x v="18"/>
    <s v="Ahmedabad"/>
  </r>
  <r>
    <n v="419112"/>
    <n v="2010"/>
    <x v="2"/>
    <d v="2010-03-16T00:00:00"/>
    <s v="Royal Challengers Bangalore"/>
    <s v="Kings XI Punjab"/>
    <m/>
    <s v="Kings XI Punjab"/>
    <x v="1"/>
    <s v="Win"/>
    <x v="3"/>
    <x v="55"/>
    <x v="0"/>
    <s v="Bangalore"/>
  </r>
  <r>
    <n v="419113"/>
    <n v="2010"/>
    <x v="2"/>
    <d v="2010-03-16T00:00:00"/>
    <s v="Kolkata Knight Riders"/>
    <s v="Chennai Super Kings"/>
    <m/>
    <s v="Chennai Super Kings"/>
    <x v="1"/>
    <s v="Win"/>
    <x v="1"/>
    <x v="13"/>
    <x v="3"/>
    <s v="Kolkata"/>
  </r>
  <r>
    <n v="419114"/>
    <n v="2010"/>
    <x v="2"/>
    <d v="2010-03-17T00:00:00"/>
    <s v="Delhi Daredevils"/>
    <s v="Mumbai Indians"/>
    <m/>
    <s v="Delhi Daredevils"/>
    <x v="0"/>
    <s v="Win"/>
    <x v="7"/>
    <x v="41"/>
    <x v="2"/>
    <s v="Delhi"/>
  </r>
  <r>
    <n v="419115"/>
    <n v="2010"/>
    <x v="2"/>
    <d v="2010-03-18T00:00:00"/>
    <s v="Royal Challengers Bangalore"/>
    <s v="Rajasthan Royals"/>
    <m/>
    <s v="Royal Challengers Bangalore"/>
    <x v="0"/>
    <s v="Win"/>
    <x v="3"/>
    <x v="55"/>
    <x v="0"/>
    <s v="Bangalore"/>
  </r>
  <r>
    <n v="419116"/>
    <n v="2010"/>
    <x v="2"/>
    <d v="2010-03-19T00:00:00"/>
    <s v="Delhi Daredevils"/>
    <s v="Chennai Super Kings"/>
    <m/>
    <s v="Delhi Daredevils"/>
    <x v="1"/>
    <s v="Win"/>
    <x v="1"/>
    <x v="7"/>
    <x v="2"/>
    <s v="Delhi"/>
  </r>
  <r>
    <n v="419117"/>
    <n v="2010"/>
    <x v="2"/>
    <d v="2010-03-19T00:00:00"/>
    <s v="Deccan Chargers"/>
    <s v="Kings XI Punjab"/>
    <m/>
    <s v="Kings XI Punjab"/>
    <x v="0"/>
    <s v="Win"/>
    <x v="6"/>
    <x v="72"/>
    <x v="19"/>
    <s v="Cuttack"/>
  </r>
  <r>
    <n v="419118"/>
    <n v="2010"/>
    <x v="2"/>
    <d v="2010-03-20T00:00:00"/>
    <s v="Rajasthan Royals"/>
    <s v="Kolkata Knight Riders"/>
    <m/>
    <s v="Rajasthan Royals"/>
    <x v="1"/>
    <s v="Win"/>
    <x v="4"/>
    <x v="73"/>
    <x v="18"/>
    <s v="Ahmedabad"/>
  </r>
  <r>
    <n v="419119"/>
    <n v="2010"/>
    <x v="2"/>
    <d v="2010-03-20T00:00:00"/>
    <s v="Mumbai Indians"/>
    <s v="Royal Challengers Bangalore"/>
    <m/>
    <s v="Mumbai Indians"/>
    <x v="1"/>
    <s v="Win"/>
    <x v="3"/>
    <x v="55"/>
    <x v="17"/>
    <s v="Mumbai"/>
  </r>
  <r>
    <n v="419120"/>
    <n v="2010"/>
    <x v="2"/>
    <d v="2010-03-21T00:00:00"/>
    <s v="Deccan Chargers"/>
    <s v="Delhi Daredevils"/>
    <m/>
    <s v="Deccan Chargers"/>
    <x v="1"/>
    <s v="Win"/>
    <x v="6"/>
    <x v="72"/>
    <x v="19"/>
    <s v="Cuttack"/>
  </r>
  <r>
    <n v="419121"/>
    <n v="2010"/>
    <x v="2"/>
    <d v="2010-03-21T00:00:00"/>
    <s v="Chennai Super Kings"/>
    <s v="Kings XI Punjab"/>
    <m/>
    <s v="Chennai Super Kings"/>
    <x v="0"/>
    <s v="tie"/>
    <x v="8"/>
    <x v="74"/>
    <x v="7"/>
    <s v="Chennai"/>
  </r>
  <r>
    <n v="419122"/>
    <n v="2010"/>
    <x v="2"/>
    <d v="2010-03-22T00:00:00"/>
    <s v="Mumbai Indians"/>
    <s v="Kolkata Knight Riders"/>
    <m/>
    <s v="Kolkata Knight Riders"/>
    <x v="1"/>
    <s v="Win"/>
    <x v="7"/>
    <x v="41"/>
    <x v="17"/>
    <s v="Mumbai"/>
  </r>
  <r>
    <n v="419123"/>
    <n v="2010"/>
    <x v="2"/>
    <d v="2010-03-23T00:00:00"/>
    <s v="Royal Challengers Bangalore"/>
    <s v="Chennai Super Kings"/>
    <m/>
    <s v="Chennai Super Kings"/>
    <x v="0"/>
    <s v="Win"/>
    <x v="3"/>
    <x v="75"/>
    <x v="0"/>
    <s v="Bangalore"/>
  </r>
  <r>
    <n v="419124"/>
    <n v="2010"/>
    <x v="2"/>
    <d v="2010-03-24T00:00:00"/>
    <s v="Kings XI Punjab"/>
    <s v="Rajasthan Royals"/>
    <m/>
    <s v="Kings XI Punjab"/>
    <x v="0"/>
    <s v="Win"/>
    <x v="4"/>
    <x v="76"/>
    <x v="1"/>
    <s v="Chandigarh"/>
  </r>
  <r>
    <n v="419125"/>
    <n v="2010"/>
    <x v="2"/>
    <d v="2010-03-25T00:00:00"/>
    <s v="Chennai Super Kings"/>
    <s v="Mumbai Indians"/>
    <m/>
    <s v="Mumbai Indians"/>
    <x v="0"/>
    <s v="Win"/>
    <x v="7"/>
    <x v="41"/>
    <x v="20"/>
    <s v="Mumbai"/>
  </r>
  <r>
    <n v="419128"/>
    <n v="2010"/>
    <x v="2"/>
    <d v="2010-03-25T00:00:00"/>
    <s v="Royal Challengers Bangalore"/>
    <s v="Delhi Daredevils"/>
    <m/>
    <s v="Royal Challengers Bangalore"/>
    <x v="0"/>
    <s v="Win"/>
    <x v="2"/>
    <x v="77"/>
    <x v="0"/>
    <s v="Bangalore"/>
  </r>
  <r>
    <n v="419126"/>
    <n v="2010"/>
    <x v="2"/>
    <d v="2010-03-26T00:00:00"/>
    <s v="Rajasthan Royals"/>
    <s v="Deccan Chargers"/>
    <m/>
    <s v="Deccan Chargers"/>
    <x v="1"/>
    <s v="Win"/>
    <x v="4"/>
    <x v="8"/>
    <x v="18"/>
    <s v="Ahmedabad"/>
  </r>
  <r>
    <n v="419127"/>
    <n v="2010"/>
    <x v="2"/>
    <d v="2010-03-27T00:00:00"/>
    <s v="Kings XI Punjab"/>
    <s v="Kolkata Knight Riders"/>
    <m/>
    <s v="Kolkata Knight Riders"/>
    <x v="1"/>
    <s v="Win"/>
    <x v="0"/>
    <x v="71"/>
    <x v="1"/>
    <s v="Chandigarh"/>
  </r>
  <r>
    <n v="419130"/>
    <n v="2010"/>
    <x v="2"/>
    <d v="2010-03-28T00:00:00"/>
    <s v="Deccan Chargers"/>
    <s v="Mumbai Indians"/>
    <m/>
    <s v="Deccan Chargers"/>
    <x v="0"/>
    <s v="Win"/>
    <x v="7"/>
    <x v="62"/>
    <x v="8"/>
    <s v="Mumbai"/>
  </r>
  <r>
    <n v="419129"/>
    <n v="2010"/>
    <x v="2"/>
    <d v="2010-03-28T00:00:00"/>
    <s v="Rajasthan Royals"/>
    <s v="Chennai Super Kings"/>
    <m/>
    <s v="Rajasthan Royals"/>
    <x v="1"/>
    <s v="Win"/>
    <x v="4"/>
    <x v="78"/>
    <x v="18"/>
    <s v="Ahmedabad"/>
  </r>
  <r>
    <n v="419131"/>
    <n v="2010"/>
    <x v="2"/>
    <d v="2010-03-29T00:00:00"/>
    <s v="Delhi Daredevils"/>
    <s v="Kolkata Knight Riders"/>
    <m/>
    <s v="Delhi Daredevils"/>
    <x v="1"/>
    <s v="Win"/>
    <x v="2"/>
    <x v="79"/>
    <x v="2"/>
    <s v="Delhi"/>
  </r>
  <r>
    <n v="419132"/>
    <n v="2010"/>
    <x v="2"/>
    <d v="2010-03-30T00:00:00"/>
    <s v="Mumbai Indians"/>
    <s v="Kings XI Punjab"/>
    <m/>
    <s v="Mumbai Indians"/>
    <x v="0"/>
    <s v="Win"/>
    <x v="7"/>
    <x v="80"/>
    <x v="17"/>
    <s v="Mumbai"/>
  </r>
  <r>
    <n v="419133"/>
    <n v="2010"/>
    <x v="2"/>
    <d v="2010-03-31T00:00:00"/>
    <s v="Chennai Super Kings"/>
    <s v="Royal Challengers Bangalore"/>
    <m/>
    <s v="Royal Challengers Bangalore"/>
    <x v="1"/>
    <s v="Win"/>
    <x v="1"/>
    <x v="81"/>
    <x v="7"/>
    <s v="Chennai"/>
  </r>
  <r>
    <n v="419134"/>
    <n v="2010"/>
    <x v="2"/>
    <d v="2010-03-31T00:00:00"/>
    <s v="Delhi Daredevils"/>
    <s v="Rajasthan Royals"/>
    <m/>
    <s v="Delhi Daredevils"/>
    <x v="1"/>
    <s v="Win"/>
    <x v="2"/>
    <x v="35"/>
    <x v="2"/>
    <s v="Delhi"/>
  </r>
  <r>
    <n v="419135"/>
    <n v="2010"/>
    <x v="2"/>
    <d v="2010-04-01T00:00:00"/>
    <s v="Kolkata Knight Riders"/>
    <s v="Deccan Chargers"/>
    <m/>
    <s v="Kolkata Knight Riders"/>
    <x v="1"/>
    <s v="Win"/>
    <x v="0"/>
    <x v="24"/>
    <x v="3"/>
    <s v="Kolkata"/>
  </r>
  <r>
    <n v="419136"/>
    <n v="2010"/>
    <x v="2"/>
    <d v="2010-04-02T00:00:00"/>
    <s v="Kings XI Punjab"/>
    <s v="Royal Challengers Bangalore"/>
    <m/>
    <s v="Kings XI Punjab"/>
    <x v="1"/>
    <s v="Win"/>
    <x v="3"/>
    <x v="82"/>
    <x v="1"/>
    <s v="Chandigarh"/>
  </r>
  <r>
    <n v="419138"/>
    <n v="2010"/>
    <x v="2"/>
    <d v="2010-04-03T00:00:00"/>
    <s v="Mumbai Indians"/>
    <s v="Deccan Chargers"/>
    <m/>
    <s v="Mumbai Indians"/>
    <x v="1"/>
    <s v="Win"/>
    <x v="7"/>
    <x v="83"/>
    <x v="17"/>
    <s v="Mumbai"/>
  </r>
  <r>
    <n v="419137"/>
    <n v="2010"/>
    <x v="2"/>
    <d v="2010-04-03T00:00:00"/>
    <s v="Chennai Super Kings"/>
    <s v="Rajasthan Royals"/>
    <m/>
    <s v="Chennai Super Kings"/>
    <x v="1"/>
    <s v="Win"/>
    <x v="1"/>
    <x v="81"/>
    <x v="7"/>
    <s v="Chennai"/>
  </r>
  <r>
    <n v="419140"/>
    <n v="2010"/>
    <x v="2"/>
    <d v="2010-04-04T00:00:00"/>
    <s v="Delhi Daredevils"/>
    <s v="Royal Challengers Bangalore"/>
    <m/>
    <s v="Delhi Daredevils"/>
    <x v="1"/>
    <s v="Win"/>
    <x v="2"/>
    <x v="84"/>
    <x v="2"/>
    <s v="Delhi"/>
  </r>
  <r>
    <n v="419139"/>
    <n v="2010"/>
    <x v="2"/>
    <d v="2010-04-04T00:00:00"/>
    <s v="Kolkata Knight Riders"/>
    <s v="Kings XI Punjab"/>
    <m/>
    <s v="Kolkata Knight Riders"/>
    <x v="1"/>
    <s v="Win"/>
    <x v="5"/>
    <x v="28"/>
    <x v="3"/>
    <s v="Kolkata"/>
  </r>
  <r>
    <n v="419141"/>
    <n v="2010"/>
    <x v="2"/>
    <d v="2010-04-05T00:00:00"/>
    <s v="Deccan Chargers"/>
    <s v="Rajasthan Royals"/>
    <m/>
    <s v="Rajasthan Royals"/>
    <x v="1"/>
    <s v="Win"/>
    <x v="4"/>
    <x v="64"/>
    <x v="21"/>
    <s v="Nagpur"/>
  </r>
  <r>
    <n v="419142"/>
    <n v="2010"/>
    <x v="2"/>
    <d v="2010-04-06T00:00:00"/>
    <s v="Chennai Super Kings"/>
    <s v="Mumbai Indians"/>
    <m/>
    <s v="Chennai Super Kings"/>
    <x v="1"/>
    <s v="Win"/>
    <x v="1"/>
    <x v="38"/>
    <x v="7"/>
    <s v="Chennai"/>
  </r>
  <r>
    <n v="419143"/>
    <n v="2010"/>
    <x v="2"/>
    <d v="2010-04-07T00:00:00"/>
    <s v="Rajasthan Royals"/>
    <s v="Kings XI Punjab"/>
    <m/>
    <s v="Kings XI Punjab"/>
    <x v="1"/>
    <s v="Win"/>
    <x v="4"/>
    <x v="85"/>
    <x v="5"/>
    <s v="Jaipur"/>
  </r>
  <r>
    <n v="419144"/>
    <n v="2010"/>
    <x v="2"/>
    <d v="2010-04-07T00:00:00"/>
    <s v="Kolkata Knight Riders"/>
    <s v="Delhi Daredevils"/>
    <m/>
    <s v="Kolkata Knight Riders"/>
    <x v="1"/>
    <s v="Win"/>
    <x v="0"/>
    <x v="24"/>
    <x v="3"/>
    <s v="Kolkata"/>
  </r>
  <r>
    <n v="419145"/>
    <n v="2010"/>
    <x v="2"/>
    <d v="2010-04-08T00:00:00"/>
    <s v="Royal Challengers Bangalore"/>
    <s v="Deccan Chargers"/>
    <m/>
    <s v="Deccan Chargers"/>
    <x v="0"/>
    <s v="Win"/>
    <x v="6"/>
    <x v="86"/>
    <x v="0"/>
    <s v="Bangalore"/>
  </r>
  <r>
    <n v="419146"/>
    <n v="2010"/>
    <x v="2"/>
    <d v="2010-04-09T00:00:00"/>
    <s v="Kings XI Punjab"/>
    <s v="Mumbai Indians"/>
    <m/>
    <s v="Mumbai Indians"/>
    <x v="1"/>
    <s v="Win"/>
    <x v="5"/>
    <x v="9"/>
    <x v="1"/>
    <s v="Chandigarh"/>
  </r>
  <r>
    <n v="419147"/>
    <n v="2010"/>
    <x v="2"/>
    <d v="2010-04-10T00:00:00"/>
    <s v="Deccan Chargers"/>
    <s v="Chennai Super Kings"/>
    <m/>
    <s v="Chennai Super Kings"/>
    <x v="1"/>
    <s v="Win"/>
    <x v="6"/>
    <x v="87"/>
    <x v="21"/>
    <s v="Nagpur"/>
  </r>
  <r>
    <n v="419148"/>
    <n v="2010"/>
    <x v="2"/>
    <d v="2010-04-10T00:00:00"/>
    <s v="Royal Challengers Bangalore"/>
    <s v="Kolkata Knight Riders"/>
    <m/>
    <s v="Royal Challengers Bangalore"/>
    <x v="0"/>
    <s v="Win"/>
    <x v="3"/>
    <x v="36"/>
    <x v="0"/>
    <s v="Bangalore"/>
  </r>
  <r>
    <n v="419150"/>
    <n v="2010"/>
    <x v="2"/>
    <d v="2010-04-11T00:00:00"/>
    <s v="Rajasthan Royals"/>
    <s v="Mumbai Indians"/>
    <m/>
    <s v="Rajasthan Royals"/>
    <x v="0"/>
    <s v="Win"/>
    <x v="7"/>
    <x v="41"/>
    <x v="5"/>
    <s v="Jaipur"/>
  </r>
  <r>
    <n v="419149"/>
    <n v="2010"/>
    <x v="2"/>
    <d v="2010-04-11T00:00:00"/>
    <s v="Delhi Daredevils"/>
    <s v="Kings XI Punjab"/>
    <m/>
    <s v="Delhi Daredevils"/>
    <x v="1"/>
    <s v="Win"/>
    <x v="5"/>
    <x v="88"/>
    <x v="2"/>
    <s v="Delhi"/>
  </r>
  <r>
    <n v="419151"/>
    <n v="2010"/>
    <x v="2"/>
    <d v="2010-04-12T00:00:00"/>
    <s v="Deccan Chargers"/>
    <s v="Royal Challengers Bangalore"/>
    <m/>
    <s v="Royal Challengers Bangalore"/>
    <x v="0"/>
    <s v="Win"/>
    <x v="6"/>
    <x v="89"/>
    <x v="21"/>
    <s v="Nagpur"/>
  </r>
  <r>
    <n v="419153"/>
    <n v="2010"/>
    <x v="2"/>
    <d v="2010-04-13T00:00:00"/>
    <s v="Chennai Super Kings"/>
    <s v="Kolkata Knight Riders"/>
    <m/>
    <s v="Kolkata Knight Riders"/>
    <x v="1"/>
    <s v="Win"/>
    <x v="1"/>
    <x v="90"/>
    <x v="7"/>
    <s v="Chennai"/>
  </r>
  <r>
    <n v="419152"/>
    <n v="2010"/>
    <x v="2"/>
    <d v="2010-04-13T00:00:00"/>
    <s v="Mumbai Indians"/>
    <s v="Delhi Daredevils"/>
    <m/>
    <s v="Mumbai Indians"/>
    <x v="1"/>
    <s v="Win"/>
    <x v="7"/>
    <x v="91"/>
    <x v="17"/>
    <s v="Mumbai"/>
  </r>
  <r>
    <n v="419154"/>
    <n v="2010"/>
    <x v="2"/>
    <d v="2010-04-14T00:00:00"/>
    <s v="Rajasthan Royals"/>
    <s v="Royal Challengers Bangalore"/>
    <m/>
    <s v="Rajasthan Royals"/>
    <x v="1"/>
    <s v="Win"/>
    <x v="3"/>
    <x v="82"/>
    <x v="5"/>
    <s v="Jaipur"/>
  </r>
  <r>
    <n v="419155"/>
    <n v="2010"/>
    <x v="2"/>
    <d v="2010-04-15T00:00:00"/>
    <s v="Chennai Super Kings"/>
    <s v="Delhi Daredevils"/>
    <m/>
    <s v="Chennai Super Kings"/>
    <x v="1"/>
    <s v="Win"/>
    <x v="2"/>
    <x v="56"/>
    <x v="7"/>
    <s v="Chennai"/>
  </r>
  <r>
    <n v="419156"/>
    <n v="2010"/>
    <x v="2"/>
    <d v="2010-04-16T00:00:00"/>
    <s v="Kings XI Punjab"/>
    <s v="Deccan Chargers"/>
    <m/>
    <s v="Deccan Chargers"/>
    <x v="0"/>
    <s v="Win"/>
    <x v="6"/>
    <x v="57"/>
    <x v="22"/>
    <s v="Dharamsala"/>
  </r>
  <r>
    <n v="419158"/>
    <n v="2010"/>
    <x v="2"/>
    <d v="2010-04-17T00:00:00"/>
    <s v="Kolkata Knight Riders"/>
    <s v="Rajasthan Royals"/>
    <m/>
    <s v="Rajasthan Royals"/>
    <x v="1"/>
    <s v="Win"/>
    <x v="0"/>
    <x v="92"/>
    <x v="3"/>
    <s v="Kolkata"/>
  </r>
  <r>
    <n v="419157"/>
    <n v="2010"/>
    <x v="2"/>
    <d v="2010-04-17T00:00:00"/>
    <s v="Royal Challengers Bangalore"/>
    <s v="Mumbai Indians"/>
    <m/>
    <s v="Royal Challengers Bangalore"/>
    <x v="0"/>
    <s v="Win"/>
    <x v="7"/>
    <x v="93"/>
    <x v="0"/>
    <s v="Bangalore"/>
  </r>
  <r>
    <n v="419159"/>
    <n v="2010"/>
    <x v="2"/>
    <d v="2010-04-18T00:00:00"/>
    <s v="Kings XI Punjab"/>
    <s v="Chennai Super Kings"/>
    <m/>
    <s v="Chennai Super Kings"/>
    <x v="0"/>
    <s v="Win"/>
    <x v="1"/>
    <x v="13"/>
    <x v="22"/>
    <s v="Dharamsala"/>
  </r>
  <r>
    <n v="419160"/>
    <n v="2010"/>
    <x v="2"/>
    <d v="2010-04-18T00:00:00"/>
    <s v="Delhi Daredevils"/>
    <s v="Deccan Chargers"/>
    <m/>
    <s v="Deccan Chargers"/>
    <x v="1"/>
    <s v="Win"/>
    <x v="6"/>
    <x v="72"/>
    <x v="2"/>
    <s v="Delhi"/>
  </r>
  <r>
    <n v="419161"/>
    <n v="2010"/>
    <x v="2"/>
    <d v="2010-04-19T00:00:00"/>
    <s v="Kolkata Knight Riders"/>
    <s v="Mumbai Indians"/>
    <m/>
    <s v="Mumbai Indians"/>
    <x v="1"/>
    <s v="Win"/>
    <x v="0"/>
    <x v="94"/>
    <x v="3"/>
    <s v="Kolkata"/>
  </r>
  <r>
    <n v="419162"/>
    <n v="2010"/>
    <x v="2"/>
    <d v="2010-04-21T00:00:00"/>
    <s v="Royal Challengers Bangalore"/>
    <s v="Mumbai Indians"/>
    <m/>
    <s v="Mumbai Indians"/>
    <x v="1"/>
    <s v="Win"/>
    <x v="7"/>
    <x v="91"/>
    <x v="8"/>
    <s v="Mumbai"/>
  </r>
  <r>
    <n v="419163"/>
    <n v="2010"/>
    <x v="2"/>
    <d v="2010-04-22T00:00:00"/>
    <s v="Chennai Super Kings"/>
    <s v="Deccan Chargers"/>
    <m/>
    <s v="Chennai Super Kings"/>
    <x v="1"/>
    <s v="Win"/>
    <x v="1"/>
    <x v="95"/>
    <x v="8"/>
    <s v="Mumbai"/>
  </r>
  <r>
    <n v="419164"/>
    <n v="2010"/>
    <x v="2"/>
    <d v="2010-04-24T00:00:00"/>
    <s v="Royal Challengers Bangalore"/>
    <s v="Deccan Chargers"/>
    <m/>
    <s v="Deccan Chargers"/>
    <x v="1"/>
    <s v="Win"/>
    <x v="3"/>
    <x v="33"/>
    <x v="8"/>
    <s v="Mumbai"/>
  </r>
  <r>
    <n v="419165"/>
    <n v="2010"/>
    <x v="2"/>
    <d v="2010-04-25T00:00:00"/>
    <s v="Chennai Super Kings"/>
    <s v="Mumbai Indians"/>
    <m/>
    <s v="Chennai Super Kings"/>
    <x v="1"/>
    <s v="Win"/>
    <x v="1"/>
    <x v="38"/>
    <x v="8"/>
    <s v="Mumbai"/>
  </r>
  <r>
    <n v="501198"/>
    <n v="2011"/>
    <x v="3"/>
    <d v="2011-04-08T00:00:00"/>
    <s v="Chennai Super Kings"/>
    <s v="Kolkata Knight Riders"/>
    <m/>
    <s v="Chennai Super Kings"/>
    <x v="1"/>
    <s v="Win"/>
    <x v="1"/>
    <x v="96"/>
    <x v="7"/>
    <s v="Chennai"/>
  </r>
  <r>
    <n v="501199"/>
    <n v="2011"/>
    <x v="3"/>
    <d v="2011-04-09T00:00:00"/>
    <s v="Deccan Chargers"/>
    <s v="Rajasthan Royals"/>
    <m/>
    <s v="Rajasthan Royals"/>
    <x v="0"/>
    <s v="Win"/>
    <x v="4"/>
    <x v="97"/>
    <x v="6"/>
    <s v="Hyderabad"/>
  </r>
  <r>
    <n v="501200"/>
    <n v="2011"/>
    <x v="3"/>
    <d v="2011-04-09T00:00:00"/>
    <s v="Kochi Tuskers Kerala"/>
    <s v="Royal Challengers Bangalore"/>
    <m/>
    <s v="Kochi Tuskers Kerala"/>
    <x v="1"/>
    <s v="Win"/>
    <x v="3"/>
    <x v="46"/>
    <x v="23"/>
    <s v="Kochi"/>
  </r>
  <r>
    <n v="501202"/>
    <n v="2011"/>
    <x v="3"/>
    <d v="2011-04-10T00:00:00"/>
    <s v="Pune Warriors"/>
    <s v="Kings XI Punjab"/>
    <m/>
    <s v="Kings XI Punjab"/>
    <x v="1"/>
    <s v="Win"/>
    <x v="9"/>
    <x v="98"/>
    <x v="8"/>
    <s v="Mumbai"/>
  </r>
  <r>
    <n v="501201"/>
    <n v="2011"/>
    <x v="3"/>
    <d v="2011-04-10T00:00:00"/>
    <s v="Delhi Daredevils"/>
    <s v="Mumbai Indians"/>
    <m/>
    <s v="Delhi Daredevils"/>
    <x v="1"/>
    <s v="Win"/>
    <x v="7"/>
    <x v="80"/>
    <x v="2"/>
    <s v="Delhi"/>
  </r>
  <r>
    <n v="501203"/>
    <n v="2011"/>
    <x v="3"/>
    <d v="2011-04-11T00:00:00"/>
    <s v="Kolkata Knight Riders"/>
    <s v="Deccan Chargers"/>
    <m/>
    <s v="Kolkata Knight Riders"/>
    <x v="1"/>
    <s v="Win"/>
    <x v="0"/>
    <x v="55"/>
    <x v="3"/>
    <s v="Kolkata"/>
  </r>
  <r>
    <n v="501204"/>
    <n v="2011"/>
    <x v="3"/>
    <d v="2011-04-12T00:00:00"/>
    <s v="Rajasthan Royals"/>
    <s v="Delhi Daredevils"/>
    <m/>
    <s v="Delhi Daredevils"/>
    <x v="1"/>
    <s v="Win"/>
    <x v="4"/>
    <x v="64"/>
    <x v="5"/>
    <s v="Jaipur"/>
  </r>
  <r>
    <n v="501205"/>
    <n v="2011"/>
    <x v="3"/>
    <d v="2011-04-12T00:00:00"/>
    <s v="Royal Challengers Bangalore"/>
    <s v="Mumbai Indians"/>
    <m/>
    <s v="Mumbai Indians"/>
    <x v="0"/>
    <s v="Win"/>
    <x v="7"/>
    <x v="41"/>
    <x v="0"/>
    <s v="Bangalore"/>
  </r>
  <r>
    <n v="501207"/>
    <n v="2011"/>
    <x v="3"/>
    <d v="2011-04-13T00:00:00"/>
    <s v="Pune Warriors"/>
    <s v="Kochi Tuskers Kerala"/>
    <m/>
    <s v="Kochi Tuskers Kerala"/>
    <x v="1"/>
    <s v="Win"/>
    <x v="9"/>
    <x v="99"/>
    <x v="8"/>
    <s v="Mumbai"/>
  </r>
  <r>
    <n v="501206"/>
    <n v="2011"/>
    <x v="3"/>
    <d v="2011-04-13T00:00:00"/>
    <s v="Kings XI Punjab"/>
    <s v="Chennai Super Kings"/>
    <m/>
    <s v="Kings XI Punjab"/>
    <x v="0"/>
    <s v="Win"/>
    <x v="5"/>
    <x v="100"/>
    <x v="1"/>
    <s v="Chandigarh"/>
  </r>
  <r>
    <n v="501208"/>
    <n v="2011"/>
    <x v="3"/>
    <d v="2011-04-14T00:00:00"/>
    <s v="Deccan Chargers"/>
    <s v="Royal Challengers Bangalore"/>
    <m/>
    <s v="Royal Challengers Bangalore"/>
    <x v="0"/>
    <s v="Win"/>
    <x v="6"/>
    <x v="101"/>
    <x v="6"/>
    <s v="Hyderabad"/>
  </r>
  <r>
    <n v="501210"/>
    <n v="2011"/>
    <x v="3"/>
    <d v="2011-04-15T00:00:00"/>
    <s v="Mumbai Indians"/>
    <s v="Kochi Tuskers Kerala"/>
    <m/>
    <s v="Kochi Tuskers Kerala"/>
    <x v="0"/>
    <s v="Win"/>
    <x v="10"/>
    <x v="0"/>
    <x v="4"/>
    <s v="Mumbai"/>
  </r>
  <r>
    <n v="501209"/>
    <n v="2011"/>
    <x v="3"/>
    <d v="2011-04-15T00:00:00"/>
    <s v="Rajasthan Royals"/>
    <s v="Kolkata Knight Riders"/>
    <m/>
    <s v="Kolkata Knight Riders"/>
    <x v="0"/>
    <s v="Win"/>
    <x v="0"/>
    <x v="56"/>
    <x v="5"/>
    <s v="Jaipur"/>
  </r>
  <r>
    <n v="501211"/>
    <n v="2011"/>
    <x v="3"/>
    <d v="2011-04-16T00:00:00"/>
    <s v="Chennai Super Kings"/>
    <s v="Royal Challengers Bangalore"/>
    <m/>
    <s v="Chennai Super Kings"/>
    <x v="1"/>
    <s v="Win"/>
    <x v="1"/>
    <x v="1"/>
    <x v="7"/>
    <s v="Chennai"/>
  </r>
  <r>
    <n v="501212"/>
    <n v="2011"/>
    <x v="3"/>
    <d v="2011-04-16T00:00:00"/>
    <s v="Deccan Chargers"/>
    <s v="Kings XI Punjab"/>
    <m/>
    <s v="Kings XI Punjab"/>
    <x v="0"/>
    <s v="Win"/>
    <x v="5"/>
    <x v="100"/>
    <x v="6"/>
    <s v="Hyderabad"/>
  </r>
  <r>
    <n v="501213"/>
    <n v="2011"/>
    <x v="3"/>
    <d v="2011-04-17T00:00:00"/>
    <s v="Pune Warriors"/>
    <s v="Delhi Daredevils"/>
    <m/>
    <s v="Delhi Daredevils"/>
    <x v="0"/>
    <s v="Win"/>
    <x v="2"/>
    <x v="52"/>
    <x v="8"/>
    <s v="Mumbai"/>
  </r>
  <r>
    <n v="501214"/>
    <n v="2011"/>
    <x v="3"/>
    <d v="2011-04-17T00:00:00"/>
    <s v="Kolkata Knight Riders"/>
    <s v="Rajasthan Royals"/>
    <m/>
    <s v="Kolkata Knight Riders"/>
    <x v="0"/>
    <s v="Win"/>
    <x v="0"/>
    <x v="25"/>
    <x v="3"/>
    <s v="Kolkata"/>
  </r>
  <r>
    <n v="501215"/>
    <n v="2011"/>
    <x v="3"/>
    <d v="2011-04-18T00:00:00"/>
    <s v="Kochi Tuskers Kerala"/>
    <s v="Chennai Super Kings"/>
    <m/>
    <s v="Kochi Tuskers Kerala"/>
    <x v="0"/>
    <s v="Win"/>
    <x v="10"/>
    <x v="0"/>
    <x v="23"/>
    <s v="Kochi"/>
  </r>
  <r>
    <n v="501216"/>
    <n v="2011"/>
    <x v="3"/>
    <d v="2011-04-19T00:00:00"/>
    <s v="Delhi Daredevils"/>
    <s v="Deccan Chargers"/>
    <m/>
    <s v="Deccan Chargers"/>
    <x v="1"/>
    <s v="Win"/>
    <x v="6"/>
    <x v="102"/>
    <x v="2"/>
    <s v="Delhi"/>
  </r>
  <r>
    <n v="501219"/>
    <n v="2011"/>
    <x v="3"/>
    <d v="2011-04-20T00:00:00"/>
    <s v="Kolkata Knight Riders"/>
    <s v="Kochi Tuskers Kerala"/>
    <m/>
    <s v="Kolkata Knight Riders"/>
    <x v="0"/>
    <s v="Win"/>
    <x v="10"/>
    <x v="28"/>
    <x v="3"/>
    <s v="Kolkata"/>
  </r>
  <r>
    <n v="501218"/>
    <n v="2011"/>
    <x v="3"/>
    <d v="2011-04-20T00:00:00"/>
    <s v="Mumbai Indians"/>
    <s v="Pune Warriors"/>
    <m/>
    <s v="Pune Warriors"/>
    <x v="1"/>
    <s v="Win"/>
    <x v="7"/>
    <x v="103"/>
    <x v="4"/>
    <s v="Mumbai"/>
  </r>
  <r>
    <n v="501220"/>
    <n v="2011"/>
    <x v="3"/>
    <d v="2011-04-21T00:00:00"/>
    <s v="Kings XI Punjab"/>
    <s v="Rajasthan Royals"/>
    <m/>
    <s v="Rajasthan Royals"/>
    <x v="0"/>
    <s v="Win"/>
    <x v="5"/>
    <x v="16"/>
    <x v="1"/>
    <s v="Chandigarh"/>
  </r>
  <r>
    <n v="501221"/>
    <n v="2011"/>
    <x v="3"/>
    <d v="2011-04-22T00:00:00"/>
    <s v="Mumbai Indians"/>
    <s v="Chennai Super Kings"/>
    <m/>
    <s v="Chennai Super Kings"/>
    <x v="0"/>
    <s v="Win"/>
    <x v="7"/>
    <x v="62"/>
    <x v="4"/>
    <s v="Mumbai"/>
  </r>
  <r>
    <n v="501222"/>
    <n v="2011"/>
    <x v="3"/>
    <d v="2011-04-22T00:00:00"/>
    <s v="Kolkata Knight Riders"/>
    <s v="Royal Challengers Bangalore"/>
    <m/>
    <s v="Royal Challengers Bangalore"/>
    <x v="0"/>
    <s v="Win"/>
    <x v="3"/>
    <x v="45"/>
    <x v="3"/>
    <s v="Kolkata"/>
  </r>
  <r>
    <n v="501223"/>
    <n v="2011"/>
    <x v="3"/>
    <d v="2011-04-23T00:00:00"/>
    <s v="Delhi Daredevils"/>
    <s v="Kings XI Punjab"/>
    <m/>
    <s v="Kings XI Punjab"/>
    <x v="0"/>
    <s v="Win"/>
    <x v="2"/>
    <x v="79"/>
    <x v="2"/>
    <s v="Delhi"/>
  </r>
  <r>
    <n v="501224"/>
    <n v="2011"/>
    <x v="3"/>
    <d v="2011-04-24T00:00:00"/>
    <s v="Deccan Chargers"/>
    <s v="Mumbai Indians"/>
    <m/>
    <s v="Deccan Chargers"/>
    <x v="0"/>
    <s v="Win"/>
    <x v="7"/>
    <x v="80"/>
    <x v="6"/>
    <s v="Hyderabad"/>
  </r>
  <r>
    <n v="501225"/>
    <n v="2011"/>
    <x v="3"/>
    <d v="2011-04-24T00:00:00"/>
    <s v="Rajasthan Royals"/>
    <s v="Kochi Tuskers Kerala"/>
    <m/>
    <s v="Rajasthan Royals"/>
    <x v="0"/>
    <s v="Win"/>
    <x v="4"/>
    <x v="64"/>
    <x v="5"/>
    <s v="Jaipur"/>
  </r>
  <r>
    <n v="501226"/>
    <n v="2011"/>
    <x v="3"/>
    <d v="2011-04-25T00:00:00"/>
    <s v="Chennai Super Kings"/>
    <s v="Pune Warriors"/>
    <m/>
    <s v="Pune Warriors"/>
    <x v="0"/>
    <s v="Win"/>
    <x v="1"/>
    <x v="1"/>
    <x v="7"/>
    <s v="Chennai"/>
  </r>
  <r>
    <n v="501227"/>
    <n v="2011"/>
    <x v="3"/>
    <d v="2011-04-26T00:00:00"/>
    <s v="Delhi Daredevils"/>
    <s v="Royal Challengers Bangalore"/>
    <m/>
    <s v="Royal Challengers Bangalore"/>
    <x v="0"/>
    <s v="Win"/>
    <x v="3"/>
    <x v="104"/>
    <x v="2"/>
    <s v="Delhi"/>
  </r>
  <r>
    <n v="501229"/>
    <n v="2011"/>
    <x v="3"/>
    <d v="2011-04-27T00:00:00"/>
    <s v="Kochi Tuskers Kerala"/>
    <s v="Deccan Chargers"/>
    <m/>
    <s v="Kochi Tuskers Kerala"/>
    <x v="0"/>
    <s v="Win"/>
    <x v="6"/>
    <x v="105"/>
    <x v="23"/>
    <s v="Kochi"/>
  </r>
  <r>
    <n v="501228"/>
    <n v="2011"/>
    <x v="3"/>
    <d v="2011-04-27T00:00:00"/>
    <s v="Pune Warriors"/>
    <s v="Chennai Super Kings"/>
    <m/>
    <s v="Pune Warriors"/>
    <x v="1"/>
    <s v="Win"/>
    <x v="1"/>
    <x v="95"/>
    <x v="8"/>
    <s v="Mumbai"/>
  </r>
  <r>
    <n v="501230"/>
    <n v="2011"/>
    <x v="3"/>
    <d v="2011-04-28T00:00:00"/>
    <s v="Delhi Daredevils"/>
    <s v="Kolkata Knight Riders"/>
    <m/>
    <s v="Delhi Daredevils"/>
    <x v="0"/>
    <s v="Win"/>
    <x v="0"/>
    <x v="71"/>
    <x v="2"/>
    <s v="Delhi"/>
  </r>
  <r>
    <n v="501231"/>
    <n v="2011"/>
    <x v="3"/>
    <d v="2011-04-29T00:00:00"/>
    <s v="Rajasthan Royals"/>
    <s v="Mumbai Indians"/>
    <m/>
    <s v="Rajasthan Royals"/>
    <x v="0"/>
    <s v="Win"/>
    <x v="4"/>
    <x v="106"/>
    <x v="5"/>
    <s v="Jaipur"/>
  </r>
  <r>
    <n v="501232"/>
    <n v="2011"/>
    <x v="3"/>
    <d v="2011-04-29T00:00:00"/>
    <s v="Royal Challengers Bangalore"/>
    <s v="Pune Warriors"/>
    <m/>
    <s v="Pune Warriors"/>
    <x v="0"/>
    <s v="Win"/>
    <x v="3"/>
    <x v="104"/>
    <x v="0"/>
    <s v="Bangalore"/>
  </r>
  <r>
    <n v="501234"/>
    <n v="2011"/>
    <x v="3"/>
    <d v="2011-04-30T00:00:00"/>
    <s v="Kolkata Knight Riders"/>
    <s v="Kings XI Punjab"/>
    <m/>
    <s v="Kolkata Knight Riders"/>
    <x v="0"/>
    <s v="Win"/>
    <x v="0"/>
    <x v="107"/>
    <x v="3"/>
    <s v="Kolkata"/>
  </r>
  <r>
    <n v="501233"/>
    <n v="2011"/>
    <x v="3"/>
    <d v="2011-04-30T00:00:00"/>
    <s v="Kochi Tuskers Kerala"/>
    <s v="Delhi Daredevils"/>
    <m/>
    <s v="Delhi Daredevils"/>
    <x v="1"/>
    <s v="Win"/>
    <x v="2"/>
    <x v="6"/>
    <x v="23"/>
    <s v="Kochi"/>
  </r>
  <r>
    <n v="501236"/>
    <n v="2011"/>
    <x v="3"/>
    <d v="2011-05-01T00:00:00"/>
    <s v="Chennai Super Kings"/>
    <s v="Deccan Chargers"/>
    <m/>
    <s v="Chennai Super Kings"/>
    <x v="1"/>
    <s v="Win"/>
    <x v="1"/>
    <x v="34"/>
    <x v="7"/>
    <s v="Chennai"/>
  </r>
  <r>
    <n v="501235"/>
    <n v="2011"/>
    <x v="3"/>
    <d v="2011-05-01T00:00:00"/>
    <s v="Rajasthan Royals"/>
    <s v="Pune Warriors"/>
    <m/>
    <s v="Rajasthan Royals"/>
    <x v="0"/>
    <s v="Win"/>
    <x v="4"/>
    <x v="61"/>
    <x v="5"/>
    <s v="Jaipur"/>
  </r>
  <r>
    <n v="501237"/>
    <n v="2011"/>
    <x v="3"/>
    <d v="2011-05-02T00:00:00"/>
    <s v="Mumbai Indians"/>
    <s v="Kings XI Punjab"/>
    <m/>
    <s v="Kings XI Punjab"/>
    <x v="0"/>
    <s v="Win"/>
    <x v="7"/>
    <x v="91"/>
    <x v="4"/>
    <s v="Mumbai"/>
  </r>
  <r>
    <n v="501238"/>
    <n v="2011"/>
    <x v="3"/>
    <d v="2011-05-02T00:00:00"/>
    <s v="Delhi Daredevils"/>
    <s v="Kochi Tuskers Kerala"/>
    <m/>
    <s v="Kochi Tuskers Kerala"/>
    <x v="0"/>
    <s v="Win"/>
    <x v="10"/>
    <x v="108"/>
    <x v="2"/>
    <s v="Delhi"/>
  </r>
  <r>
    <n v="501239"/>
    <n v="2011"/>
    <x v="3"/>
    <d v="2011-05-03T00:00:00"/>
    <s v="Deccan Chargers"/>
    <s v="Kolkata Knight Riders"/>
    <m/>
    <s v="Deccan Chargers"/>
    <x v="0"/>
    <s v="Win"/>
    <x v="0"/>
    <x v="8"/>
    <x v="6"/>
    <s v="Hyderabad"/>
  </r>
  <r>
    <n v="501240"/>
    <n v="2011"/>
    <x v="3"/>
    <d v="2011-05-04T00:00:00"/>
    <s v="Chennai Super Kings"/>
    <s v="Rajasthan Royals"/>
    <m/>
    <s v="Rajasthan Royals"/>
    <x v="1"/>
    <s v="Win"/>
    <x v="1"/>
    <x v="1"/>
    <x v="7"/>
    <s v="Chennai"/>
  </r>
  <r>
    <n v="501241"/>
    <n v="2011"/>
    <x v="3"/>
    <d v="2011-05-04T00:00:00"/>
    <s v="Pune Warriors"/>
    <s v="Mumbai Indians"/>
    <m/>
    <s v="Pune Warriors"/>
    <x v="0"/>
    <s v="Win"/>
    <x v="7"/>
    <x v="109"/>
    <x v="8"/>
    <s v="Mumbai"/>
  </r>
  <r>
    <n v="501242"/>
    <n v="2011"/>
    <x v="3"/>
    <d v="2011-05-05T00:00:00"/>
    <s v="Kochi Tuskers Kerala"/>
    <s v="Kolkata Knight Riders"/>
    <m/>
    <s v="Kolkata Knight Riders"/>
    <x v="0"/>
    <s v="Win"/>
    <x v="10"/>
    <x v="66"/>
    <x v="23"/>
    <s v="Kochi"/>
  </r>
  <r>
    <n v="501243"/>
    <n v="2011"/>
    <x v="3"/>
    <d v="2011-05-05T00:00:00"/>
    <s v="Deccan Chargers"/>
    <s v="Delhi Daredevils"/>
    <m/>
    <s v="Delhi Daredevils"/>
    <x v="0"/>
    <s v="Win"/>
    <x v="2"/>
    <x v="6"/>
    <x v="6"/>
    <s v="Hyderabad"/>
  </r>
  <r>
    <n v="501244"/>
    <n v="2011"/>
    <x v="3"/>
    <d v="2011-05-06T00:00:00"/>
    <s v="Royal Challengers Bangalore"/>
    <s v="Kings XI Punjab"/>
    <m/>
    <s v="Kings XI Punjab"/>
    <x v="0"/>
    <s v="Win"/>
    <x v="3"/>
    <x v="45"/>
    <x v="0"/>
    <s v="Bangalore"/>
  </r>
  <r>
    <n v="501245"/>
    <n v="2011"/>
    <x v="3"/>
    <d v="2011-05-07T00:00:00"/>
    <s v="Kolkata Knight Riders"/>
    <s v="Chennai Super Kings"/>
    <m/>
    <s v="Chennai Super Kings"/>
    <x v="1"/>
    <s v="Win"/>
    <x v="0"/>
    <x v="107"/>
    <x v="3"/>
    <s v="Kolkata"/>
  </r>
  <r>
    <n v="501246"/>
    <n v="2011"/>
    <x v="3"/>
    <d v="2011-05-07T00:00:00"/>
    <s v="Mumbai Indians"/>
    <s v="Delhi Daredevils"/>
    <m/>
    <s v="Delhi Daredevils"/>
    <x v="0"/>
    <s v="Win"/>
    <x v="7"/>
    <x v="83"/>
    <x v="4"/>
    <s v="Mumbai"/>
  </r>
  <r>
    <n v="501247"/>
    <n v="2011"/>
    <x v="3"/>
    <d v="2011-05-08T00:00:00"/>
    <s v="Royal Challengers Bangalore"/>
    <s v="Kochi Tuskers Kerala"/>
    <m/>
    <s v="Kochi Tuskers Kerala"/>
    <x v="1"/>
    <s v="Win"/>
    <x v="3"/>
    <x v="45"/>
    <x v="0"/>
    <s v="Bangalore"/>
  </r>
  <r>
    <n v="501248"/>
    <n v="2011"/>
    <x v="3"/>
    <d v="2011-05-08T00:00:00"/>
    <s v="Kings XI Punjab"/>
    <s v="Pune Warriors"/>
    <m/>
    <s v="Kings XI Punjab"/>
    <x v="1"/>
    <s v="Win"/>
    <x v="9"/>
    <x v="109"/>
    <x v="1"/>
    <s v="Chandigarh"/>
  </r>
  <r>
    <n v="501249"/>
    <n v="2011"/>
    <x v="3"/>
    <d v="2011-05-09T00:00:00"/>
    <s v="Rajasthan Royals"/>
    <s v="Chennai Super Kings"/>
    <m/>
    <s v="Rajasthan Royals"/>
    <x v="0"/>
    <s v="Win"/>
    <x v="1"/>
    <x v="81"/>
    <x v="5"/>
    <s v="Jaipur"/>
  </r>
  <r>
    <n v="501251"/>
    <n v="2011"/>
    <x v="3"/>
    <d v="2011-05-10T00:00:00"/>
    <s v="Kings XI Punjab"/>
    <s v="Mumbai Indians"/>
    <m/>
    <s v="Mumbai Indians"/>
    <x v="0"/>
    <s v="Win"/>
    <x v="5"/>
    <x v="110"/>
    <x v="1"/>
    <s v="Chandigarh"/>
  </r>
  <r>
    <n v="501250"/>
    <n v="2011"/>
    <x v="3"/>
    <d v="2011-05-10T00:00:00"/>
    <s v="Deccan Chargers"/>
    <s v="Pune Warriors"/>
    <m/>
    <s v="Deccan Chargers"/>
    <x v="1"/>
    <s v="Win"/>
    <x v="9"/>
    <x v="111"/>
    <x v="6"/>
    <s v="Hyderabad"/>
  </r>
  <r>
    <n v="501252"/>
    <n v="2011"/>
    <x v="3"/>
    <d v="2011-05-11T00:00:00"/>
    <s v="Rajasthan Royals"/>
    <s v="Royal Challengers Bangalore"/>
    <m/>
    <s v="Royal Challengers Bangalore"/>
    <x v="0"/>
    <s v="Win"/>
    <x v="3"/>
    <x v="112"/>
    <x v="5"/>
    <s v="Jaipur"/>
  </r>
  <r>
    <n v="501253"/>
    <n v="2011"/>
    <x v="3"/>
    <d v="2011-05-12T00:00:00"/>
    <s v="Chennai Super Kings"/>
    <s v="Delhi Daredevils"/>
    <m/>
    <s v="Chennai Super Kings"/>
    <x v="1"/>
    <s v="Win"/>
    <x v="1"/>
    <x v="13"/>
    <x v="7"/>
    <s v="Chennai"/>
  </r>
  <r>
    <n v="501254"/>
    <n v="2011"/>
    <x v="3"/>
    <d v="2011-05-13T00:00:00"/>
    <s v="Kochi Tuskers Kerala"/>
    <s v="Kings XI Punjab"/>
    <m/>
    <s v="Kings XI Punjab"/>
    <x v="0"/>
    <s v="Win"/>
    <x v="5"/>
    <x v="35"/>
    <x v="24"/>
    <s v="Indore"/>
  </r>
  <r>
    <n v="501255"/>
    <n v="2011"/>
    <x v="3"/>
    <d v="2011-05-14T00:00:00"/>
    <s v="Royal Challengers Bangalore"/>
    <s v="Kolkata Knight Riders"/>
    <m/>
    <s v="Royal Challengers Bangalore"/>
    <x v="0"/>
    <s v="Win"/>
    <x v="3"/>
    <x v="45"/>
    <x v="0"/>
    <s v="Bangalore"/>
  </r>
  <r>
    <n v="501256"/>
    <n v="2011"/>
    <x v="3"/>
    <d v="2011-05-14T00:00:00"/>
    <s v="Mumbai Indians"/>
    <s v="Deccan Chargers"/>
    <m/>
    <s v="Deccan Chargers"/>
    <x v="1"/>
    <s v="Win"/>
    <x v="6"/>
    <x v="27"/>
    <x v="4"/>
    <s v="Mumbai"/>
  </r>
  <r>
    <n v="501258"/>
    <n v="2011"/>
    <x v="3"/>
    <d v="2011-05-15T00:00:00"/>
    <s v="Kochi Tuskers Kerala"/>
    <s v="Rajasthan Royals"/>
    <m/>
    <s v="Kochi Tuskers Kerala"/>
    <x v="0"/>
    <s v="Win"/>
    <x v="10"/>
    <x v="66"/>
    <x v="24"/>
    <s v="Indore"/>
  </r>
  <r>
    <n v="501257"/>
    <n v="2011"/>
    <x v="3"/>
    <d v="2011-05-15T00:00:00"/>
    <s v="Kings XI Punjab"/>
    <s v="Delhi Daredevils"/>
    <m/>
    <s v="Delhi Daredevils"/>
    <x v="0"/>
    <s v="Win"/>
    <x v="5"/>
    <x v="88"/>
    <x v="22"/>
    <s v="Dharamsala"/>
  </r>
  <r>
    <n v="501259"/>
    <n v="2011"/>
    <x v="3"/>
    <d v="2011-05-16T00:00:00"/>
    <s v="Pune Warriors"/>
    <s v="Deccan Chargers"/>
    <m/>
    <s v="Deccan Chargers"/>
    <x v="0"/>
    <s v="Win"/>
    <x v="6"/>
    <x v="27"/>
    <x v="8"/>
    <s v="Mumbai"/>
  </r>
  <r>
    <n v="501260"/>
    <n v="2011"/>
    <x v="3"/>
    <d v="2011-05-17T00:00:00"/>
    <s v="Kings XI Punjab"/>
    <s v="Royal Challengers Bangalore"/>
    <m/>
    <s v="Kings XI Punjab"/>
    <x v="1"/>
    <s v="Win"/>
    <x v="5"/>
    <x v="12"/>
    <x v="22"/>
    <s v="Dharamsala"/>
  </r>
  <r>
    <n v="501261"/>
    <n v="2011"/>
    <x v="3"/>
    <d v="2011-05-18T00:00:00"/>
    <s v="Chennai Super Kings"/>
    <s v="Kochi Tuskers Kerala"/>
    <m/>
    <s v="Chennai Super Kings"/>
    <x v="1"/>
    <s v="Win"/>
    <x v="1"/>
    <x v="113"/>
    <x v="7"/>
    <s v="Chennai"/>
  </r>
  <r>
    <n v="501262"/>
    <n v="2011"/>
    <x v="3"/>
    <d v="2011-05-19T00:00:00"/>
    <s v="Pune Warriors"/>
    <s v="Kolkata Knight Riders"/>
    <m/>
    <s v="Kolkata Knight Riders"/>
    <x v="0"/>
    <s v="Win"/>
    <x v="0"/>
    <x v="8"/>
    <x v="8"/>
    <s v="Mumbai"/>
  </r>
  <r>
    <n v="501263"/>
    <n v="2011"/>
    <x v="3"/>
    <d v="2011-05-20T00:00:00"/>
    <s v="Mumbai Indians"/>
    <s v="Rajasthan Royals"/>
    <m/>
    <s v="Mumbai Indians"/>
    <x v="1"/>
    <s v="Win"/>
    <x v="4"/>
    <x v="5"/>
    <x v="4"/>
    <s v="Mumbai"/>
  </r>
  <r>
    <n v="501265"/>
    <n v="2011"/>
    <x v="3"/>
    <d v="2011-05-21T00:00:00"/>
    <s v="Delhi Daredevils"/>
    <s v="Pune Warriors"/>
    <m/>
    <s v="Delhi Daredevils"/>
    <x v="1"/>
    <s v="no result"/>
    <x v="8"/>
    <x v="114"/>
    <x v="2"/>
    <s v="Delhi"/>
  </r>
  <r>
    <n v="501264"/>
    <n v="2011"/>
    <x v="3"/>
    <d v="2011-05-21T00:00:00"/>
    <s v="Kings XI Punjab"/>
    <s v="Deccan Chargers"/>
    <m/>
    <s v="Kings XI Punjab"/>
    <x v="0"/>
    <s v="Win"/>
    <x v="6"/>
    <x v="115"/>
    <x v="22"/>
    <s v="Dharamsala"/>
  </r>
  <r>
    <n v="501266"/>
    <n v="2011"/>
    <x v="3"/>
    <d v="2011-05-22T00:00:00"/>
    <s v="Royal Challengers Bangalore"/>
    <s v="Chennai Super Kings"/>
    <m/>
    <s v="Royal Challengers Bangalore"/>
    <x v="0"/>
    <s v="Win"/>
    <x v="3"/>
    <x v="45"/>
    <x v="0"/>
    <s v="Bangalore"/>
  </r>
  <r>
    <n v="501267"/>
    <n v="2011"/>
    <x v="3"/>
    <d v="2011-05-22T00:00:00"/>
    <s v="Kolkata Knight Riders"/>
    <s v="Mumbai Indians"/>
    <m/>
    <s v="Mumbai Indians"/>
    <x v="0"/>
    <s v="Win"/>
    <x v="7"/>
    <x v="116"/>
    <x v="3"/>
    <s v="Kolkata"/>
  </r>
  <r>
    <n v="501268"/>
    <n v="2011"/>
    <x v="3"/>
    <d v="2011-05-24T00:00:00"/>
    <s v="Royal Challengers Bangalore"/>
    <s v="Chennai Super Kings"/>
    <m/>
    <s v="Chennai Super Kings"/>
    <x v="0"/>
    <s v="Win"/>
    <x v="1"/>
    <x v="38"/>
    <x v="4"/>
    <s v="Mumbai"/>
  </r>
  <r>
    <n v="501269"/>
    <n v="2011"/>
    <x v="3"/>
    <d v="2011-05-25T00:00:00"/>
    <s v="Mumbai Indians"/>
    <s v="Kolkata Knight Riders"/>
    <m/>
    <s v="Mumbai Indians"/>
    <x v="0"/>
    <s v="Win"/>
    <x v="7"/>
    <x v="103"/>
    <x v="4"/>
    <s v="Mumbai"/>
  </r>
  <r>
    <n v="501270"/>
    <n v="2011"/>
    <x v="3"/>
    <d v="2011-05-27T00:00:00"/>
    <s v="Royal Challengers Bangalore"/>
    <s v="Mumbai Indians"/>
    <m/>
    <s v="Mumbai Indians"/>
    <x v="0"/>
    <s v="Win"/>
    <x v="3"/>
    <x v="45"/>
    <x v="7"/>
    <s v="Chennai"/>
  </r>
  <r>
    <n v="501271"/>
    <n v="2011"/>
    <x v="3"/>
    <d v="2011-05-28T00:00:00"/>
    <s v="Chennai Super Kings"/>
    <s v="Royal Challengers Bangalore"/>
    <m/>
    <s v="Chennai Super Kings"/>
    <x v="1"/>
    <s v="Win"/>
    <x v="1"/>
    <x v="81"/>
    <x v="7"/>
    <s v="Chennai"/>
  </r>
  <r>
    <n v="548306"/>
    <n v="2012"/>
    <x v="4"/>
    <d v="2012-04-04T00:00:00"/>
    <s v="Chennai Super Kings"/>
    <s v="Mumbai Indians"/>
    <m/>
    <s v="Mumbai Indians"/>
    <x v="0"/>
    <s v="Win"/>
    <x v="7"/>
    <x v="117"/>
    <x v="7"/>
    <s v="Chennai"/>
  </r>
  <r>
    <n v="548307"/>
    <n v="2012"/>
    <x v="4"/>
    <d v="2012-04-05T00:00:00"/>
    <s v="Kolkata Knight Riders"/>
    <s v="Delhi Daredevils"/>
    <m/>
    <s v="Delhi Daredevils"/>
    <x v="0"/>
    <s v="Win"/>
    <x v="2"/>
    <x v="19"/>
    <x v="3"/>
    <s v="Kolkata"/>
  </r>
  <r>
    <n v="548309"/>
    <n v="2012"/>
    <x v="4"/>
    <d v="2012-04-06T00:00:00"/>
    <s v="Rajasthan Royals"/>
    <s v="Kings XI Punjab"/>
    <m/>
    <s v="Kings XI Punjab"/>
    <x v="0"/>
    <s v="Win"/>
    <x v="4"/>
    <x v="118"/>
    <x v="5"/>
    <s v="Jaipur"/>
  </r>
  <r>
    <n v="548308"/>
    <n v="2012"/>
    <x v="4"/>
    <d v="2012-04-06T00:00:00"/>
    <s v="Mumbai Indians"/>
    <s v="Pune Warriors"/>
    <m/>
    <s v="Mumbai Indians"/>
    <x v="0"/>
    <s v="Win"/>
    <x v="9"/>
    <x v="119"/>
    <x v="4"/>
    <s v="Mumbai"/>
  </r>
  <r>
    <n v="548311"/>
    <n v="2012"/>
    <x v="4"/>
    <d v="2012-04-07T00:00:00"/>
    <s v="Deccan Chargers"/>
    <s v="Chennai Super Kings"/>
    <m/>
    <s v="Deccan Chargers"/>
    <x v="0"/>
    <s v="Win"/>
    <x v="1"/>
    <x v="120"/>
    <x v="25"/>
    <s v="Visakhapatnam"/>
  </r>
  <r>
    <n v="548310"/>
    <n v="2012"/>
    <x v="4"/>
    <d v="2012-04-07T00:00:00"/>
    <s v="Royal Challengers Bangalore"/>
    <s v="Delhi Daredevils"/>
    <m/>
    <s v="Delhi Daredevils"/>
    <x v="0"/>
    <s v="Win"/>
    <x v="3"/>
    <x v="46"/>
    <x v="0"/>
    <s v="Bangalore"/>
  </r>
  <r>
    <n v="548313"/>
    <n v="2012"/>
    <x v="4"/>
    <d v="2012-04-08T00:00:00"/>
    <s v="Pune Warriors"/>
    <s v="Kings XI Punjab"/>
    <m/>
    <s v="Pune Warriors"/>
    <x v="1"/>
    <s v="Win"/>
    <x v="9"/>
    <x v="121"/>
    <x v="26"/>
    <s v="Pune"/>
  </r>
  <r>
    <n v="548312"/>
    <n v="2012"/>
    <x v="4"/>
    <d v="2012-04-08T00:00:00"/>
    <s v="Rajasthan Royals"/>
    <s v="Kolkata Knight Riders"/>
    <m/>
    <s v="Kolkata Knight Riders"/>
    <x v="0"/>
    <s v="Win"/>
    <x v="4"/>
    <x v="66"/>
    <x v="5"/>
    <s v="Jaipur"/>
  </r>
  <r>
    <n v="548314"/>
    <n v="2012"/>
    <x v="4"/>
    <d v="2012-04-09T00:00:00"/>
    <s v="Deccan Chargers"/>
    <s v="Mumbai Indians"/>
    <m/>
    <s v="Deccan Chargers"/>
    <x v="1"/>
    <s v="Win"/>
    <x v="7"/>
    <x v="57"/>
    <x v="25"/>
    <s v="Visakhapatnam"/>
  </r>
  <r>
    <n v="548316"/>
    <n v="2012"/>
    <x v="4"/>
    <d v="2012-04-10T00:00:00"/>
    <s v="Delhi Daredevils"/>
    <s v="Chennai Super Kings"/>
    <m/>
    <s v="Delhi Daredevils"/>
    <x v="0"/>
    <s v="Win"/>
    <x v="2"/>
    <x v="122"/>
    <x v="2"/>
    <s v="Delhi"/>
  </r>
  <r>
    <n v="548315"/>
    <n v="2012"/>
    <x v="4"/>
    <d v="2012-04-10T00:00:00"/>
    <s v="Royal Challengers Bangalore"/>
    <s v="Kolkata Knight Riders"/>
    <m/>
    <s v="Royal Challengers Bangalore"/>
    <x v="0"/>
    <s v="Win"/>
    <x v="0"/>
    <x v="25"/>
    <x v="0"/>
    <s v="Bangalore"/>
  </r>
  <r>
    <n v="548317"/>
    <n v="2012"/>
    <x v="4"/>
    <d v="2012-04-11T00:00:00"/>
    <s v="Mumbai Indians"/>
    <s v="Rajasthan Royals"/>
    <m/>
    <s v="Rajasthan Royals"/>
    <x v="0"/>
    <s v="Win"/>
    <x v="7"/>
    <x v="91"/>
    <x v="4"/>
    <s v="Mumbai"/>
  </r>
  <r>
    <n v="548319"/>
    <n v="2012"/>
    <x v="4"/>
    <d v="2012-04-12T00:00:00"/>
    <s v="Kings XI Punjab"/>
    <s v="Pune Warriors"/>
    <m/>
    <s v="Kings XI Punjab"/>
    <x v="0"/>
    <s v="Win"/>
    <x v="5"/>
    <x v="123"/>
    <x v="1"/>
    <s v="Chandigarh"/>
  </r>
  <r>
    <n v="548318"/>
    <n v="2012"/>
    <x v="4"/>
    <d v="2012-04-12T00:00:00"/>
    <s v="Chennai Super Kings"/>
    <s v="Royal Challengers Bangalore"/>
    <m/>
    <s v="Royal Challengers Bangalore"/>
    <x v="1"/>
    <s v="Win"/>
    <x v="1"/>
    <x v="124"/>
    <x v="7"/>
    <s v="Chennai"/>
  </r>
  <r>
    <n v="548320"/>
    <n v="2012"/>
    <x v="4"/>
    <d v="2012-04-13T00:00:00"/>
    <s v="Kolkata Knight Riders"/>
    <s v="Rajasthan Royals"/>
    <m/>
    <s v="Rajasthan Royals"/>
    <x v="1"/>
    <s v="Win"/>
    <x v="0"/>
    <x v="125"/>
    <x v="3"/>
    <s v="Kolkata"/>
  </r>
  <r>
    <n v="548322"/>
    <n v="2012"/>
    <x v="4"/>
    <d v="2012-04-14T00:00:00"/>
    <s v="Pune Warriors"/>
    <s v="Chennai Super Kings"/>
    <m/>
    <s v="Chennai Super Kings"/>
    <x v="1"/>
    <s v="Win"/>
    <x v="9"/>
    <x v="126"/>
    <x v="26"/>
    <s v="Pune"/>
  </r>
  <r>
    <n v="548323"/>
    <n v="2012"/>
    <x v="4"/>
    <d v="2012-04-15T00:00:00"/>
    <s v="Kolkata Knight Riders"/>
    <s v="Kings XI Punjab"/>
    <m/>
    <s v="Kolkata Knight Riders"/>
    <x v="0"/>
    <s v="Win"/>
    <x v="5"/>
    <x v="127"/>
    <x v="3"/>
    <s v="Kolkata"/>
  </r>
  <r>
    <n v="548324"/>
    <n v="2012"/>
    <x v="4"/>
    <d v="2012-04-15T00:00:00"/>
    <s v="Royal Challengers Bangalore"/>
    <s v="Rajasthan Royals"/>
    <m/>
    <s v="Rajasthan Royals"/>
    <x v="1"/>
    <s v="Win"/>
    <x v="4"/>
    <x v="118"/>
    <x v="0"/>
    <s v="Bangalore"/>
  </r>
  <r>
    <n v="548325"/>
    <n v="2012"/>
    <x v="4"/>
    <d v="2012-04-16T00:00:00"/>
    <s v="Mumbai Indians"/>
    <s v="Delhi Daredevils"/>
    <m/>
    <s v="Delhi Daredevils"/>
    <x v="0"/>
    <s v="Win"/>
    <x v="2"/>
    <x v="128"/>
    <x v="4"/>
    <s v="Mumbai"/>
  </r>
  <r>
    <n v="548327"/>
    <n v="2012"/>
    <x v="4"/>
    <d v="2012-04-17T00:00:00"/>
    <s v="Royal Challengers Bangalore"/>
    <s v="Pune Warriors"/>
    <m/>
    <s v="Pune Warriors"/>
    <x v="1"/>
    <s v="Win"/>
    <x v="3"/>
    <x v="45"/>
    <x v="0"/>
    <s v="Bangalore"/>
  </r>
  <r>
    <n v="548326"/>
    <n v="2012"/>
    <x v="4"/>
    <d v="2012-04-17T00:00:00"/>
    <s v="Rajasthan Royals"/>
    <s v="Deccan Chargers"/>
    <m/>
    <s v="Deccan Chargers"/>
    <x v="1"/>
    <s v="Win"/>
    <x v="4"/>
    <x v="66"/>
    <x v="5"/>
    <s v="Jaipur"/>
  </r>
  <r>
    <n v="548328"/>
    <n v="2012"/>
    <x v="4"/>
    <d v="2012-04-18T00:00:00"/>
    <s v="Kings XI Punjab"/>
    <s v="Kolkata Knight Riders"/>
    <m/>
    <s v="Kings XI Punjab"/>
    <x v="1"/>
    <s v="Win"/>
    <x v="0"/>
    <x v="56"/>
    <x v="1"/>
    <s v="Chandigarh"/>
  </r>
  <r>
    <n v="548321"/>
    <n v="2012"/>
    <x v="4"/>
    <d v="2012-04-19T00:00:00"/>
    <s v="Delhi Daredevils"/>
    <s v="Deccan Chargers"/>
    <m/>
    <s v="Deccan Chargers"/>
    <x v="1"/>
    <s v="Win"/>
    <x v="2"/>
    <x v="82"/>
    <x v="2"/>
    <s v="Delhi"/>
  </r>
  <r>
    <n v="548330"/>
    <n v="2012"/>
    <x v="4"/>
    <d v="2012-04-19T00:00:00"/>
    <s v="Chennai Super Kings"/>
    <s v="Pune Warriors"/>
    <m/>
    <s v="Pune Warriors"/>
    <x v="0"/>
    <s v="Win"/>
    <x v="1"/>
    <x v="129"/>
    <x v="7"/>
    <s v="Chennai"/>
  </r>
  <r>
    <n v="548331"/>
    <n v="2012"/>
    <x v="4"/>
    <d v="2012-04-20T00:00:00"/>
    <s v="Kings XI Punjab"/>
    <s v="Royal Challengers Bangalore"/>
    <m/>
    <s v="Royal Challengers Bangalore"/>
    <x v="0"/>
    <s v="Win"/>
    <x v="3"/>
    <x v="45"/>
    <x v="1"/>
    <s v="Chandigarh"/>
  </r>
  <r>
    <n v="548332"/>
    <n v="2012"/>
    <x v="4"/>
    <d v="2012-04-21T00:00:00"/>
    <s v="Chennai Super Kings"/>
    <s v="Rajasthan Royals"/>
    <m/>
    <s v="Rajasthan Royals"/>
    <x v="1"/>
    <s v="Win"/>
    <x v="1"/>
    <x v="124"/>
    <x v="7"/>
    <s v="Chennai"/>
  </r>
  <r>
    <n v="548333"/>
    <n v="2012"/>
    <x v="4"/>
    <d v="2012-04-21T00:00:00"/>
    <s v="Delhi Daredevils"/>
    <s v="Pune Warriors"/>
    <m/>
    <s v="Delhi Daredevils"/>
    <x v="0"/>
    <s v="Win"/>
    <x v="9"/>
    <x v="24"/>
    <x v="2"/>
    <s v="Delhi"/>
  </r>
  <r>
    <n v="548334"/>
    <n v="2012"/>
    <x v="4"/>
    <d v="2012-04-22T00:00:00"/>
    <s v="Mumbai Indians"/>
    <s v="Kings XI Punjab"/>
    <m/>
    <s v="Mumbai Indians"/>
    <x v="1"/>
    <s v="Win"/>
    <x v="5"/>
    <x v="16"/>
    <x v="4"/>
    <s v="Mumbai"/>
  </r>
  <r>
    <n v="548335"/>
    <n v="2012"/>
    <x v="4"/>
    <d v="2012-04-22T00:00:00"/>
    <s v="Deccan Chargers"/>
    <s v="Kolkata Knight Riders"/>
    <m/>
    <s v="Kolkata Knight Riders"/>
    <x v="0"/>
    <s v="Win"/>
    <x v="0"/>
    <x v="65"/>
    <x v="19"/>
    <s v="Cuttack"/>
  </r>
  <r>
    <n v="548336"/>
    <n v="2012"/>
    <x v="4"/>
    <d v="2012-04-23T00:00:00"/>
    <s v="Rajasthan Royals"/>
    <s v="Royal Challengers Bangalore"/>
    <m/>
    <s v="Rajasthan Royals"/>
    <x v="0"/>
    <s v="Win"/>
    <x v="3"/>
    <x v="46"/>
    <x v="5"/>
    <s v="Jaipur"/>
  </r>
  <r>
    <n v="548337"/>
    <n v="2012"/>
    <x v="4"/>
    <d v="2012-04-24T00:00:00"/>
    <s v="Pune Warriors"/>
    <s v="Delhi Daredevils"/>
    <m/>
    <s v="Pune Warriors"/>
    <x v="1"/>
    <s v="Win"/>
    <x v="2"/>
    <x v="6"/>
    <x v="26"/>
    <s v="Pune"/>
  </r>
  <r>
    <n v="548339"/>
    <n v="2012"/>
    <x v="4"/>
    <d v="2012-04-25T00:00:00"/>
    <s v="Kings XI Punjab"/>
    <s v="Mumbai Indians"/>
    <m/>
    <s v="Kings XI Punjab"/>
    <x v="1"/>
    <s v="Win"/>
    <x v="7"/>
    <x v="83"/>
    <x v="1"/>
    <s v="Chandigarh"/>
  </r>
  <r>
    <n v="548341"/>
    <n v="2012"/>
    <x v="4"/>
    <d v="2012-04-26T00:00:00"/>
    <s v="Pune Warriors"/>
    <s v="Deccan Chargers"/>
    <m/>
    <s v="Deccan Chargers"/>
    <x v="1"/>
    <s v="Win"/>
    <x v="6"/>
    <x v="130"/>
    <x v="26"/>
    <s v="Pune"/>
  </r>
  <r>
    <n v="548342"/>
    <n v="2012"/>
    <x v="4"/>
    <d v="2012-04-27T00:00:00"/>
    <s v="Delhi Daredevils"/>
    <s v="Mumbai Indians"/>
    <m/>
    <s v="Mumbai Indians"/>
    <x v="0"/>
    <s v="Win"/>
    <x v="2"/>
    <x v="6"/>
    <x v="2"/>
    <s v="Delhi"/>
  </r>
  <r>
    <n v="548344"/>
    <n v="2012"/>
    <x v="4"/>
    <d v="2012-04-28T00:00:00"/>
    <s v="Kolkata Knight Riders"/>
    <s v="Royal Challengers Bangalore"/>
    <m/>
    <s v="Kolkata Knight Riders"/>
    <x v="1"/>
    <s v="Win"/>
    <x v="0"/>
    <x v="56"/>
    <x v="3"/>
    <s v="Kolkata"/>
  </r>
  <r>
    <n v="548343"/>
    <n v="2012"/>
    <x v="4"/>
    <d v="2012-04-28T00:00:00"/>
    <s v="Chennai Super Kings"/>
    <s v="Kings XI Punjab"/>
    <m/>
    <s v="Kings XI Punjab"/>
    <x v="1"/>
    <s v="Win"/>
    <x v="5"/>
    <x v="131"/>
    <x v="7"/>
    <s v="Chennai"/>
  </r>
  <r>
    <n v="548345"/>
    <n v="2012"/>
    <x v="4"/>
    <d v="2012-04-29T00:00:00"/>
    <s v="Delhi Daredevils"/>
    <s v="Rajasthan Royals"/>
    <m/>
    <s v="Delhi Daredevils"/>
    <x v="1"/>
    <s v="Win"/>
    <x v="2"/>
    <x v="6"/>
    <x v="2"/>
    <s v="Delhi"/>
  </r>
  <r>
    <n v="548346"/>
    <n v="2012"/>
    <x v="4"/>
    <d v="2012-04-29T00:00:00"/>
    <s v="Mumbai Indians"/>
    <s v="Deccan Chargers"/>
    <m/>
    <s v="Mumbai Indians"/>
    <x v="0"/>
    <s v="Win"/>
    <x v="7"/>
    <x v="101"/>
    <x v="4"/>
    <s v="Mumbai"/>
  </r>
  <r>
    <n v="548347"/>
    <n v="2012"/>
    <x v="4"/>
    <d v="2012-04-30T00:00:00"/>
    <s v="Chennai Super Kings"/>
    <s v="Kolkata Knight Riders"/>
    <m/>
    <s v="Chennai Super Kings"/>
    <x v="1"/>
    <s v="Win"/>
    <x v="0"/>
    <x v="56"/>
    <x v="7"/>
    <s v="Chennai"/>
  </r>
  <r>
    <n v="548348"/>
    <n v="2012"/>
    <x v="4"/>
    <d v="2012-05-01T00:00:00"/>
    <s v="Deccan Chargers"/>
    <s v="Pune Warriors"/>
    <m/>
    <s v="Deccan Chargers"/>
    <x v="1"/>
    <s v="Win"/>
    <x v="6"/>
    <x v="9"/>
    <x v="19"/>
    <s v="Cuttack"/>
  </r>
  <r>
    <n v="548349"/>
    <n v="2012"/>
    <x v="4"/>
    <d v="2012-05-01T00:00:00"/>
    <s v="Rajasthan Royals"/>
    <s v="Delhi Daredevils"/>
    <m/>
    <s v="Rajasthan Royals"/>
    <x v="1"/>
    <s v="Win"/>
    <x v="2"/>
    <x v="132"/>
    <x v="5"/>
    <s v="Jaipur"/>
  </r>
  <r>
    <n v="548350"/>
    <n v="2012"/>
    <x v="4"/>
    <d v="2012-05-02T00:00:00"/>
    <s v="Royal Challengers Bangalore"/>
    <s v="Kings XI Punjab"/>
    <m/>
    <s v="Kings XI Punjab"/>
    <x v="0"/>
    <s v="Win"/>
    <x v="5"/>
    <x v="133"/>
    <x v="0"/>
    <s v="Bangalore"/>
  </r>
  <r>
    <n v="548351"/>
    <n v="2012"/>
    <x v="4"/>
    <d v="2012-05-03T00:00:00"/>
    <s v="Pune Warriors"/>
    <s v="Mumbai Indians"/>
    <m/>
    <s v="Mumbai Indians"/>
    <x v="1"/>
    <s v="Win"/>
    <x v="7"/>
    <x v="80"/>
    <x v="26"/>
    <s v="Pune"/>
  </r>
  <r>
    <n v="548352"/>
    <n v="2012"/>
    <x v="4"/>
    <d v="2012-05-04T00:00:00"/>
    <s v="Chennai Super Kings"/>
    <s v="Deccan Chargers"/>
    <m/>
    <s v="Chennai Super Kings"/>
    <x v="1"/>
    <s v="Win"/>
    <x v="1"/>
    <x v="38"/>
    <x v="7"/>
    <s v="Chennai"/>
  </r>
  <r>
    <n v="548353"/>
    <n v="2012"/>
    <x v="4"/>
    <d v="2012-05-05T00:00:00"/>
    <s v="Kolkata Knight Riders"/>
    <s v="Pune Warriors"/>
    <m/>
    <s v="Kolkata Knight Riders"/>
    <x v="1"/>
    <s v="Win"/>
    <x v="0"/>
    <x v="127"/>
    <x v="3"/>
    <s v="Kolkata"/>
  </r>
  <r>
    <n v="548354"/>
    <n v="2012"/>
    <x v="4"/>
    <d v="2012-05-05T00:00:00"/>
    <s v="Kings XI Punjab"/>
    <s v="Rajasthan Royals"/>
    <m/>
    <s v="Rajasthan Royals"/>
    <x v="1"/>
    <s v="Win"/>
    <x v="4"/>
    <x v="5"/>
    <x v="1"/>
    <s v="Chandigarh"/>
  </r>
  <r>
    <n v="548355"/>
    <n v="2012"/>
    <x v="4"/>
    <d v="2012-05-06T00:00:00"/>
    <s v="Mumbai Indians"/>
    <s v="Chennai Super Kings"/>
    <m/>
    <s v="Mumbai Indians"/>
    <x v="0"/>
    <s v="Win"/>
    <x v="7"/>
    <x v="60"/>
    <x v="4"/>
    <s v="Mumbai"/>
  </r>
  <r>
    <n v="548356"/>
    <n v="2012"/>
    <x v="4"/>
    <d v="2012-05-06T00:00:00"/>
    <s v="Royal Challengers Bangalore"/>
    <s v="Deccan Chargers"/>
    <m/>
    <s v="Royal Challengers Bangalore"/>
    <x v="0"/>
    <s v="Win"/>
    <x v="3"/>
    <x v="46"/>
    <x v="0"/>
    <s v="Bangalore"/>
  </r>
  <r>
    <n v="548357"/>
    <n v="2012"/>
    <x v="4"/>
    <d v="2012-05-07T00:00:00"/>
    <s v="Delhi Daredevils"/>
    <s v="Kolkata Knight Riders"/>
    <m/>
    <s v="Delhi Daredevils"/>
    <x v="1"/>
    <s v="Win"/>
    <x v="0"/>
    <x v="55"/>
    <x v="2"/>
    <s v="Delhi"/>
  </r>
  <r>
    <n v="548358"/>
    <n v="2012"/>
    <x v="4"/>
    <d v="2012-05-08T00:00:00"/>
    <s v="Pune Warriors"/>
    <s v="Rajasthan Royals"/>
    <m/>
    <s v="Pune Warriors"/>
    <x v="1"/>
    <s v="Win"/>
    <x v="4"/>
    <x v="5"/>
    <x v="26"/>
    <s v="Pune"/>
  </r>
  <r>
    <n v="548359"/>
    <n v="2012"/>
    <x v="4"/>
    <d v="2012-05-08T00:00:00"/>
    <s v="Deccan Chargers"/>
    <s v="Kings XI Punjab"/>
    <m/>
    <s v="Deccan Chargers"/>
    <x v="0"/>
    <s v="Win"/>
    <x v="5"/>
    <x v="131"/>
    <x v="6"/>
    <s v="Hyderabad"/>
  </r>
  <r>
    <n v="548360"/>
    <n v="2012"/>
    <x v="4"/>
    <d v="2012-05-09T00:00:00"/>
    <s v="Mumbai Indians"/>
    <s v="Royal Challengers Bangalore"/>
    <m/>
    <s v="Royal Challengers Bangalore"/>
    <x v="0"/>
    <s v="Win"/>
    <x v="3"/>
    <x v="45"/>
    <x v="4"/>
    <s v="Mumbai"/>
  </r>
  <r>
    <n v="548361"/>
    <n v="2012"/>
    <x v="4"/>
    <d v="2012-05-10T00:00:00"/>
    <s v="Rajasthan Royals"/>
    <s v="Chennai Super Kings"/>
    <m/>
    <s v="Chennai Super Kings"/>
    <x v="0"/>
    <s v="Win"/>
    <x v="1"/>
    <x v="134"/>
    <x v="5"/>
    <s v="Jaipur"/>
  </r>
  <r>
    <n v="548329"/>
    <n v="2012"/>
    <x v="4"/>
    <d v="2012-05-10T00:00:00"/>
    <s v="Deccan Chargers"/>
    <s v="Delhi Daredevils"/>
    <m/>
    <s v="Deccan Chargers"/>
    <x v="1"/>
    <s v="Win"/>
    <x v="2"/>
    <x v="79"/>
    <x v="6"/>
    <s v="Hyderabad"/>
  </r>
  <r>
    <n v="548362"/>
    <n v="2012"/>
    <x v="4"/>
    <d v="2012-05-11T00:00:00"/>
    <s v="Pune Warriors"/>
    <s v="Royal Challengers Bangalore"/>
    <m/>
    <s v="Pune Warriors"/>
    <x v="0"/>
    <s v="Win"/>
    <x v="3"/>
    <x v="45"/>
    <x v="26"/>
    <s v="Pune"/>
  </r>
  <r>
    <n v="548363"/>
    <n v="2012"/>
    <x v="4"/>
    <d v="2012-05-12T00:00:00"/>
    <s v="Kolkata Knight Riders"/>
    <s v="Mumbai Indians"/>
    <m/>
    <s v="Mumbai Indians"/>
    <x v="1"/>
    <s v="Win"/>
    <x v="7"/>
    <x v="57"/>
    <x v="3"/>
    <s v="Kolkata"/>
  </r>
  <r>
    <n v="548364"/>
    <n v="2012"/>
    <x v="4"/>
    <d v="2012-05-12T00:00:00"/>
    <s v="Chennai Super Kings"/>
    <s v="Delhi Daredevils"/>
    <m/>
    <s v="Chennai Super Kings"/>
    <x v="0"/>
    <s v="Win"/>
    <x v="1"/>
    <x v="134"/>
    <x v="7"/>
    <s v="Chennai"/>
  </r>
  <r>
    <n v="548365"/>
    <n v="2012"/>
    <x v="4"/>
    <d v="2012-05-13T00:00:00"/>
    <s v="Rajasthan Royals"/>
    <s v="Pune Warriors"/>
    <m/>
    <s v="Rajasthan Royals"/>
    <x v="1"/>
    <s v="Win"/>
    <x v="4"/>
    <x v="135"/>
    <x v="5"/>
    <s v="Jaipur"/>
  </r>
  <r>
    <n v="548366"/>
    <n v="2012"/>
    <x v="4"/>
    <d v="2012-05-13T00:00:00"/>
    <s v="Kings XI Punjab"/>
    <s v="Deccan Chargers"/>
    <m/>
    <s v="Deccan Chargers"/>
    <x v="1"/>
    <s v="Win"/>
    <x v="5"/>
    <x v="3"/>
    <x v="1"/>
    <s v="Chandigarh"/>
  </r>
  <r>
    <n v="548367"/>
    <n v="2012"/>
    <x v="4"/>
    <d v="2012-05-14T00:00:00"/>
    <s v="Royal Challengers Bangalore"/>
    <s v="Mumbai Indians"/>
    <m/>
    <s v="Mumbai Indians"/>
    <x v="0"/>
    <s v="Win"/>
    <x v="7"/>
    <x v="83"/>
    <x v="0"/>
    <s v="Bangalore"/>
  </r>
  <r>
    <n v="548368"/>
    <n v="2012"/>
    <x v="4"/>
    <d v="2012-05-14T00:00:00"/>
    <s v="Kolkata Knight Riders"/>
    <s v="Chennai Super Kings"/>
    <m/>
    <s v="Chennai Super Kings"/>
    <x v="0"/>
    <s v="Win"/>
    <x v="1"/>
    <x v="1"/>
    <x v="3"/>
    <s v="Kolkata"/>
  </r>
  <r>
    <n v="548369"/>
    <n v="2012"/>
    <x v="4"/>
    <d v="2012-05-15T00:00:00"/>
    <s v="Delhi Daredevils"/>
    <s v="Kings XI Punjab"/>
    <m/>
    <s v="Kings XI Punjab"/>
    <x v="1"/>
    <s v="Win"/>
    <x v="2"/>
    <x v="136"/>
    <x v="2"/>
    <s v="Delhi"/>
  </r>
  <r>
    <n v="548370"/>
    <n v="2012"/>
    <x v="4"/>
    <d v="2012-05-16T00:00:00"/>
    <s v="Mumbai Indians"/>
    <s v="Kolkata Knight Riders"/>
    <m/>
    <s v="Mumbai Indians"/>
    <x v="0"/>
    <s v="Win"/>
    <x v="0"/>
    <x v="127"/>
    <x v="4"/>
    <s v="Mumbai"/>
  </r>
  <r>
    <n v="548371"/>
    <n v="2012"/>
    <x v="4"/>
    <d v="2012-05-17T00:00:00"/>
    <s v="Kings XI Punjab"/>
    <s v="Chennai Super Kings"/>
    <m/>
    <s v="Kings XI Punjab"/>
    <x v="0"/>
    <s v="Win"/>
    <x v="5"/>
    <x v="12"/>
    <x v="22"/>
    <s v="Dharamsala"/>
  </r>
  <r>
    <n v="548372"/>
    <n v="2012"/>
    <x v="4"/>
    <d v="2012-05-17T00:00:00"/>
    <s v="Delhi Daredevils"/>
    <s v="Royal Challengers Bangalore"/>
    <m/>
    <s v="Delhi Daredevils"/>
    <x v="0"/>
    <s v="Win"/>
    <x v="3"/>
    <x v="45"/>
    <x v="2"/>
    <s v="Delhi"/>
  </r>
  <r>
    <n v="548373"/>
    <n v="2012"/>
    <x v="4"/>
    <d v="2012-05-18T00:00:00"/>
    <s v="Deccan Chargers"/>
    <s v="Rajasthan Royals"/>
    <m/>
    <s v="Rajasthan Royals"/>
    <x v="1"/>
    <s v="Win"/>
    <x v="6"/>
    <x v="101"/>
    <x v="6"/>
    <s v="Hyderabad"/>
  </r>
  <r>
    <n v="548374"/>
    <n v="2012"/>
    <x v="4"/>
    <d v="2012-05-19T00:00:00"/>
    <s v="Kings XI Punjab"/>
    <s v="Delhi Daredevils"/>
    <m/>
    <s v="Delhi Daredevils"/>
    <x v="0"/>
    <s v="Win"/>
    <x v="2"/>
    <x v="136"/>
    <x v="22"/>
    <s v="Dharamsala"/>
  </r>
  <r>
    <n v="548375"/>
    <n v="2012"/>
    <x v="4"/>
    <d v="2012-05-19T00:00:00"/>
    <s v="Pune Warriors"/>
    <s v="Kolkata Knight Riders"/>
    <m/>
    <s v="Kolkata Knight Riders"/>
    <x v="1"/>
    <s v="Win"/>
    <x v="0"/>
    <x v="125"/>
    <x v="26"/>
    <s v="Pune"/>
  </r>
  <r>
    <n v="548377"/>
    <n v="2012"/>
    <x v="4"/>
    <d v="2012-05-20T00:00:00"/>
    <s v="Rajasthan Royals"/>
    <s v="Mumbai Indians"/>
    <m/>
    <s v="Rajasthan Royals"/>
    <x v="1"/>
    <s v="Win"/>
    <x v="7"/>
    <x v="60"/>
    <x v="5"/>
    <s v="Jaipur"/>
  </r>
  <r>
    <n v="548376"/>
    <n v="2012"/>
    <x v="4"/>
    <d v="2012-05-20T00:00:00"/>
    <s v="Deccan Chargers"/>
    <s v="Royal Challengers Bangalore"/>
    <m/>
    <s v="Royal Challengers Bangalore"/>
    <x v="0"/>
    <s v="Win"/>
    <x v="6"/>
    <x v="101"/>
    <x v="6"/>
    <s v="Hyderabad"/>
  </r>
  <r>
    <n v="548378"/>
    <n v="2012"/>
    <x v="4"/>
    <d v="2012-05-22T00:00:00"/>
    <s v="Delhi Daredevils"/>
    <s v="Kolkata Knight Riders"/>
    <m/>
    <s v="Kolkata Knight Riders"/>
    <x v="1"/>
    <s v="Win"/>
    <x v="0"/>
    <x v="8"/>
    <x v="26"/>
    <s v="Pune"/>
  </r>
  <r>
    <n v="548379"/>
    <n v="2012"/>
    <x v="4"/>
    <d v="2012-05-23T00:00:00"/>
    <s v="Chennai Super Kings"/>
    <s v="Mumbai Indians"/>
    <m/>
    <s v="Mumbai Indians"/>
    <x v="0"/>
    <s v="Win"/>
    <x v="1"/>
    <x v="13"/>
    <x v="0"/>
    <s v="Bangalore"/>
  </r>
  <r>
    <n v="548380"/>
    <n v="2012"/>
    <x v="4"/>
    <d v="2012-05-25T00:00:00"/>
    <s v="Delhi Daredevils"/>
    <s v="Chennai Super Kings"/>
    <m/>
    <s v="Delhi Daredevils"/>
    <x v="0"/>
    <s v="Win"/>
    <x v="1"/>
    <x v="81"/>
    <x v="7"/>
    <s v="Chennai"/>
  </r>
  <r>
    <n v="548381"/>
    <n v="2012"/>
    <x v="4"/>
    <d v="2012-05-27T00:00:00"/>
    <s v="Kolkata Knight Riders"/>
    <s v="Chennai Super Kings"/>
    <m/>
    <s v="Chennai Super Kings"/>
    <x v="1"/>
    <s v="Win"/>
    <x v="0"/>
    <x v="137"/>
    <x v="7"/>
    <s v="Chennai"/>
  </r>
  <r>
    <n v="597998"/>
    <n v="2013"/>
    <x v="5"/>
    <d v="2013-04-03T00:00:00"/>
    <s v="Kolkata Knight Riders"/>
    <s v="Delhi Daredevils"/>
    <m/>
    <s v="Kolkata Knight Riders"/>
    <x v="0"/>
    <s v="Win"/>
    <x v="0"/>
    <x v="127"/>
    <x v="3"/>
    <s v="Kolkata"/>
  </r>
  <r>
    <n v="597999"/>
    <n v="2013"/>
    <x v="5"/>
    <d v="2013-04-04T00:00:00"/>
    <s v="Royal Challengers Bangalore"/>
    <s v="Mumbai Indians"/>
    <m/>
    <s v="Mumbai Indians"/>
    <x v="0"/>
    <s v="Win"/>
    <x v="3"/>
    <x v="45"/>
    <x v="0"/>
    <s v="Bangalore"/>
  </r>
  <r>
    <n v="598000"/>
    <n v="2013"/>
    <x v="5"/>
    <d v="2013-04-05T00:00:00"/>
    <s v="Sunrisers Hyderabad"/>
    <s v="Pune Warriors"/>
    <m/>
    <s v="Pune Warriors"/>
    <x v="0"/>
    <s v="Win"/>
    <x v="11"/>
    <x v="27"/>
    <x v="6"/>
    <s v="Hyderabad"/>
  </r>
  <r>
    <n v="598002"/>
    <n v="2013"/>
    <x v="5"/>
    <d v="2013-04-06T00:00:00"/>
    <s v="Chennai Super Kings"/>
    <s v="Mumbai Indians"/>
    <m/>
    <s v="Mumbai Indians"/>
    <x v="1"/>
    <s v="Win"/>
    <x v="7"/>
    <x v="91"/>
    <x v="7"/>
    <s v="Chennai"/>
  </r>
  <r>
    <n v="598001"/>
    <n v="2013"/>
    <x v="5"/>
    <d v="2013-04-06T00:00:00"/>
    <s v="Delhi Daredevils"/>
    <s v="Rajasthan Royals"/>
    <m/>
    <s v="Rajasthan Royals"/>
    <x v="1"/>
    <s v="Win"/>
    <x v="4"/>
    <x v="40"/>
    <x v="2"/>
    <s v="Delhi"/>
  </r>
  <r>
    <n v="598003"/>
    <n v="2013"/>
    <x v="5"/>
    <d v="2013-04-07T00:00:00"/>
    <s v="Pune Warriors"/>
    <s v="Kings XI Punjab"/>
    <m/>
    <s v="Pune Warriors"/>
    <x v="1"/>
    <s v="Win"/>
    <x v="5"/>
    <x v="138"/>
    <x v="26"/>
    <s v="Pune"/>
  </r>
  <r>
    <n v="598004"/>
    <n v="2013"/>
    <x v="5"/>
    <d v="2013-04-07T00:00:00"/>
    <s v="Sunrisers Hyderabad"/>
    <s v="Royal Challengers Bangalore"/>
    <m/>
    <s v="Royal Challengers Bangalore"/>
    <x v="1"/>
    <s v="tie"/>
    <x v="8"/>
    <x v="139"/>
    <x v="6"/>
    <s v="Hyderabad"/>
  </r>
  <r>
    <n v="598005"/>
    <n v="2013"/>
    <x v="5"/>
    <d v="2013-04-08T00:00:00"/>
    <s v="Rajasthan Royals"/>
    <s v="Kolkata Knight Riders"/>
    <m/>
    <s v="Kolkata Knight Riders"/>
    <x v="0"/>
    <s v="Win"/>
    <x v="4"/>
    <x v="97"/>
    <x v="5"/>
    <s v="Jaipur"/>
  </r>
  <r>
    <n v="598006"/>
    <n v="2013"/>
    <x v="5"/>
    <d v="2013-04-09T00:00:00"/>
    <s v="Mumbai Indians"/>
    <s v="Delhi Daredevils"/>
    <m/>
    <s v="Mumbai Indians"/>
    <x v="1"/>
    <s v="Win"/>
    <x v="7"/>
    <x v="35"/>
    <x v="4"/>
    <s v="Mumbai"/>
  </r>
  <r>
    <n v="598048"/>
    <n v="2013"/>
    <x v="5"/>
    <d v="2013-04-09T00:00:00"/>
    <s v="Royal Challengers Bangalore"/>
    <s v="Sunrisers Hyderabad"/>
    <m/>
    <s v="Sunrisers Hyderabad"/>
    <x v="1"/>
    <s v="Win"/>
    <x v="3"/>
    <x v="104"/>
    <x v="0"/>
    <s v="Bangalore"/>
  </r>
  <r>
    <n v="598007"/>
    <n v="2013"/>
    <x v="5"/>
    <d v="2013-04-10T00:00:00"/>
    <s v="Kings XI Punjab"/>
    <s v="Chennai Super Kings"/>
    <m/>
    <s v="Chennai Super Kings"/>
    <x v="0"/>
    <s v="Win"/>
    <x v="1"/>
    <x v="1"/>
    <x v="1"/>
    <s v="Chandigarh"/>
  </r>
  <r>
    <n v="598009"/>
    <n v="2013"/>
    <x v="5"/>
    <d v="2013-04-11T00:00:00"/>
    <s v="Pune Warriors"/>
    <s v="Rajasthan Royals"/>
    <m/>
    <s v="Rajasthan Royals"/>
    <x v="1"/>
    <s v="Win"/>
    <x v="9"/>
    <x v="140"/>
    <x v="26"/>
    <s v="Pune"/>
  </r>
  <r>
    <n v="598008"/>
    <n v="2013"/>
    <x v="5"/>
    <d v="2013-04-11T00:00:00"/>
    <s v="Royal Challengers Bangalore"/>
    <s v="Kolkata Knight Riders"/>
    <m/>
    <s v="Royal Challengers Bangalore"/>
    <x v="0"/>
    <s v="Win"/>
    <x v="3"/>
    <x v="45"/>
    <x v="0"/>
    <s v="Bangalore"/>
  </r>
  <r>
    <n v="598010"/>
    <n v="2013"/>
    <x v="5"/>
    <d v="2013-04-12T00:00:00"/>
    <s v="Delhi Daredevils"/>
    <s v="Sunrisers Hyderabad"/>
    <m/>
    <s v="Delhi Daredevils"/>
    <x v="1"/>
    <s v="Win"/>
    <x v="11"/>
    <x v="27"/>
    <x v="2"/>
    <s v="Delhi"/>
  </r>
  <r>
    <n v="598012"/>
    <n v="2013"/>
    <x v="5"/>
    <d v="2013-04-13T00:00:00"/>
    <s v="Chennai Super Kings"/>
    <s v="Royal Challengers Bangalore"/>
    <m/>
    <s v="Chennai Super Kings"/>
    <x v="0"/>
    <s v="Win"/>
    <x v="1"/>
    <x v="120"/>
    <x v="7"/>
    <s v="Chennai"/>
  </r>
  <r>
    <n v="598011"/>
    <n v="2013"/>
    <x v="5"/>
    <d v="2013-04-13T00:00:00"/>
    <s v="Mumbai Indians"/>
    <s v="Pune Warriors"/>
    <m/>
    <s v="Mumbai Indians"/>
    <x v="1"/>
    <s v="Win"/>
    <x v="7"/>
    <x v="57"/>
    <x v="4"/>
    <s v="Mumbai"/>
  </r>
  <r>
    <n v="598013"/>
    <n v="2013"/>
    <x v="5"/>
    <d v="2013-04-14T00:00:00"/>
    <s v="Kolkata Knight Riders"/>
    <s v="Sunrisers Hyderabad"/>
    <m/>
    <s v="Kolkata Knight Riders"/>
    <x v="1"/>
    <s v="Win"/>
    <x v="0"/>
    <x v="56"/>
    <x v="3"/>
    <s v="Kolkata"/>
  </r>
  <r>
    <n v="598014"/>
    <n v="2013"/>
    <x v="5"/>
    <d v="2013-04-14T00:00:00"/>
    <s v="Rajasthan Royals"/>
    <s v="Kings XI Punjab"/>
    <m/>
    <s v="Rajasthan Royals"/>
    <x v="0"/>
    <s v="Win"/>
    <x v="4"/>
    <x v="141"/>
    <x v="5"/>
    <s v="Jaipur"/>
  </r>
  <r>
    <n v="598015"/>
    <n v="2013"/>
    <x v="5"/>
    <d v="2013-04-15T00:00:00"/>
    <s v="Chennai Super Kings"/>
    <s v="Pune Warriors"/>
    <m/>
    <s v="Pune Warriors"/>
    <x v="1"/>
    <s v="Win"/>
    <x v="9"/>
    <x v="119"/>
    <x v="7"/>
    <s v="Chennai"/>
  </r>
  <r>
    <n v="598016"/>
    <n v="2013"/>
    <x v="5"/>
    <d v="2013-04-16T00:00:00"/>
    <s v="Kings XI Punjab"/>
    <s v="Kolkata Knight Riders"/>
    <m/>
    <s v="Kolkata Knight Riders"/>
    <x v="0"/>
    <s v="Win"/>
    <x v="5"/>
    <x v="142"/>
    <x v="1"/>
    <s v="Chandigarh"/>
  </r>
  <r>
    <n v="598017"/>
    <n v="2013"/>
    <x v="5"/>
    <d v="2013-04-16T00:00:00"/>
    <s v="Royal Challengers Bangalore"/>
    <s v="Delhi Daredevils"/>
    <m/>
    <s v="Royal Challengers Bangalore"/>
    <x v="0"/>
    <s v="tie"/>
    <x v="8"/>
    <x v="104"/>
    <x v="0"/>
    <s v="Bangalore"/>
  </r>
  <r>
    <n v="598018"/>
    <n v="2013"/>
    <x v="5"/>
    <d v="2013-04-17T00:00:00"/>
    <s v="Pune Warriors"/>
    <s v="Sunrisers Hyderabad"/>
    <m/>
    <s v="Pune Warriors"/>
    <x v="0"/>
    <s v="Win"/>
    <x v="11"/>
    <x v="27"/>
    <x v="27"/>
    <s v="Pune"/>
  </r>
  <r>
    <n v="598019"/>
    <n v="2013"/>
    <x v="5"/>
    <d v="2013-04-17T00:00:00"/>
    <s v="Rajasthan Royals"/>
    <s v="Mumbai Indians"/>
    <m/>
    <s v="Rajasthan Royals"/>
    <x v="1"/>
    <s v="Win"/>
    <x v="4"/>
    <x v="118"/>
    <x v="5"/>
    <s v="Jaipur"/>
  </r>
  <r>
    <n v="598020"/>
    <n v="2013"/>
    <x v="5"/>
    <d v="2013-04-18T00:00:00"/>
    <s v="Delhi Daredevils"/>
    <s v="Chennai Super Kings"/>
    <m/>
    <s v="Chennai Super Kings"/>
    <x v="1"/>
    <s v="Win"/>
    <x v="1"/>
    <x v="1"/>
    <x v="2"/>
    <s v="Delhi"/>
  </r>
  <r>
    <n v="598021"/>
    <n v="2013"/>
    <x v="5"/>
    <d v="2013-04-19T00:00:00"/>
    <s v="Sunrisers Hyderabad"/>
    <s v="Kings XI Punjab"/>
    <m/>
    <s v="Kings XI Punjab"/>
    <x v="1"/>
    <s v="Win"/>
    <x v="11"/>
    <x v="139"/>
    <x v="6"/>
    <s v="Hyderabad"/>
  </r>
  <r>
    <n v="598022"/>
    <n v="2013"/>
    <x v="5"/>
    <d v="2013-04-20T00:00:00"/>
    <s v="Kolkata Knight Riders"/>
    <s v="Chennai Super Kings"/>
    <m/>
    <s v="Kolkata Knight Riders"/>
    <x v="1"/>
    <s v="Win"/>
    <x v="1"/>
    <x v="120"/>
    <x v="3"/>
    <s v="Kolkata"/>
  </r>
  <r>
    <n v="598023"/>
    <n v="2013"/>
    <x v="5"/>
    <d v="2013-04-20T00:00:00"/>
    <s v="Royal Challengers Bangalore"/>
    <s v="Rajasthan Royals"/>
    <m/>
    <s v="Royal Challengers Bangalore"/>
    <x v="0"/>
    <s v="Win"/>
    <x v="3"/>
    <x v="36"/>
    <x v="0"/>
    <s v="Bangalore"/>
  </r>
  <r>
    <n v="598024"/>
    <n v="2013"/>
    <x v="5"/>
    <d v="2013-04-21T00:00:00"/>
    <s v="Delhi Daredevils"/>
    <s v="Mumbai Indians"/>
    <m/>
    <s v="Mumbai Indians"/>
    <x v="1"/>
    <s v="Win"/>
    <x v="2"/>
    <x v="6"/>
    <x v="2"/>
    <s v="Delhi"/>
  </r>
  <r>
    <n v="598025"/>
    <n v="2013"/>
    <x v="5"/>
    <d v="2013-04-21T00:00:00"/>
    <s v="Kings XI Punjab"/>
    <s v="Pune Warriors"/>
    <m/>
    <s v="Kings XI Punjab"/>
    <x v="0"/>
    <s v="Win"/>
    <x v="5"/>
    <x v="143"/>
    <x v="1"/>
    <s v="Chandigarh"/>
  </r>
  <r>
    <n v="598026"/>
    <n v="2013"/>
    <x v="5"/>
    <d v="2013-04-22T00:00:00"/>
    <s v="Chennai Super Kings"/>
    <s v="Rajasthan Royals"/>
    <m/>
    <s v="Rajasthan Royals"/>
    <x v="1"/>
    <s v="Win"/>
    <x v="1"/>
    <x v="1"/>
    <x v="7"/>
    <s v="Chennai"/>
  </r>
  <r>
    <n v="598059"/>
    <n v="2013"/>
    <x v="5"/>
    <d v="2013-04-23T00:00:00"/>
    <s v="Delhi Daredevils"/>
    <s v="Kings XI Punjab"/>
    <m/>
    <s v="Kings XI Punjab"/>
    <x v="0"/>
    <s v="Win"/>
    <x v="5"/>
    <x v="89"/>
    <x v="2"/>
    <s v="Delhi"/>
  </r>
  <r>
    <n v="598027"/>
    <n v="2013"/>
    <x v="5"/>
    <d v="2013-04-23T00:00:00"/>
    <s v="Royal Challengers Bangalore"/>
    <s v="Pune Warriors"/>
    <m/>
    <s v="Pune Warriors"/>
    <x v="0"/>
    <s v="Win"/>
    <x v="3"/>
    <x v="45"/>
    <x v="0"/>
    <s v="Bangalore"/>
  </r>
  <r>
    <n v="598029"/>
    <n v="2013"/>
    <x v="5"/>
    <d v="2013-04-24T00:00:00"/>
    <s v="Kolkata Knight Riders"/>
    <s v="Mumbai Indians"/>
    <m/>
    <s v="Kolkata Knight Riders"/>
    <x v="1"/>
    <s v="Win"/>
    <x v="7"/>
    <x v="60"/>
    <x v="3"/>
    <s v="Kolkata"/>
  </r>
  <r>
    <n v="598030"/>
    <n v="2013"/>
    <x v="5"/>
    <d v="2013-04-25T00:00:00"/>
    <s v="Chennai Super Kings"/>
    <s v="Sunrisers Hyderabad"/>
    <m/>
    <s v="Sunrisers Hyderabad"/>
    <x v="1"/>
    <s v="Win"/>
    <x v="1"/>
    <x v="13"/>
    <x v="7"/>
    <s v="Chennai"/>
  </r>
  <r>
    <n v="598031"/>
    <n v="2013"/>
    <x v="5"/>
    <d v="2013-04-26T00:00:00"/>
    <s v="Kolkata Knight Riders"/>
    <s v="Kings XI Punjab"/>
    <m/>
    <s v="Kings XI Punjab"/>
    <x v="1"/>
    <s v="Win"/>
    <x v="0"/>
    <x v="55"/>
    <x v="3"/>
    <s v="Kolkata"/>
  </r>
  <r>
    <n v="598033"/>
    <n v="2013"/>
    <x v="5"/>
    <d v="2013-04-27T00:00:00"/>
    <s v="Mumbai Indians"/>
    <s v="Royal Challengers Bangalore"/>
    <m/>
    <s v="Mumbai Indians"/>
    <x v="1"/>
    <s v="Win"/>
    <x v="7"/>
    <x v="60"/>
    <x v="4"/>
    <s v="Mumbai"/>
  </r>
  <r>
    <n v="598032"/>
    <n v="2013"/>
    <x v="5"/>
    <d v="2013-04-27T00:00:00"/>
    <s v="Rajasthan Royals"/>
    <s v="Sunrisers Hyderabad"/>
    <m/>
    <s v="Sunrisers Hyderabad"/>
    <x v="1"/>
    <s v="Win"/>
    <x v="4"/>
    <x v="141"/>
    <x v="5"/>
    <s v="Jaipur"/>
  </r>
  <r>
    <n v="598034"/>
    <n v="2013"/>
    <x v="5"/>
    <d v="2013-04-28T00:00:00"/>
    <s v="Chennai Super Kings"/>
    <s v="Kolkata Knight Riders"/>
    <m/>
    <s v="Kolkata Knight Riders"/>
    <x v="0"/>
    <s v="Win"/>
    <x v="1"/>
    <x v="1"/>
    <x v="7"/>
    <s v="Chennai"/>
  </r>
  <r>
    <n v="598035"/>
    <n v="2013"/>
    <x v="5"/>
    <d v="2013-04-28T00:00:00"/>
    <s v="Delhi Daredevils"/>
    <s v="Pune Warriors"/>
    <m/>
    <s v="Pune Warriors"/>
    <x v="0"/>
    <s v="Win"/>
    <x v="2"/>
    <x v="79"/>
    <x v="28"/>
    <s v="Raipur"/>
  </r>
  <r>
    <n v="598036"/>
    <n v="2013"/>
    <x v="5"/>
    <d v="2013-04-29T00:00:00"/>
    <s v="Rajasthan Royals"/>
    <s v="Royal Challengers Bangalore"/>
    <m/>
    <s v="Rajasthan Royals"/>
    <x v="0"/>
    <s v="Win"/>
    <x v="4"/>
    <x v="144"/>
    <x v="5"/>
    <s v="Jaipur"/>
  </r>
  <r>
    <n v="598037"/>
    <n v="2013"/>
    <x v="5"/>
    <d v="2013-04-29T00:00:00"/>
    <s v="Mumbai Indians"/>
    <s v="Kings XI Punjab"/>
    <m/>
    <s v="Mumbai Indians"/>
    <x v="1"/>
    <s v="Win"/>
    <x v="7"/>
    <x v="57"/>
    <x v="4"/>
    <s v="Mumbai"/>
  </r>
  <r>
    <n v="598038"/>
    <n v="2013"/>
    <x v="5"/>
    <d v="2013-04-30T00:00:00"/>
    <s v="Pune Warriors"/>
    <s v="Chennai Super Kings"/>
    <m/>
    <s v="Chennai Super Kings"/>
    <x v="1"/>
    <s v="Win"/>
    <x v="1"/>
    <x v="13"/>
    <x v="26"/>
    <s v="Pune"/>
  </r>
  <r>
    <n v="598040"/>
    <n v="2013"/>
    <x v="5"/>
    <d v="2013-05-01T00:00:00"/>
    <s v="Delhi Daredevils"/>
    <s v="Kolkata Knight Riders"/>
    <m/>
    <s v="Kolkata Knight Riders"/>
    <x v="1"/>
    <s v="Win"/>
    <x v="2"/>
    <x v="79"/>
    <x v="28"/>
    <s v="Raipur"/>
  </r>
  <r>
    <n v="598039"/>
    <n v="2013"/>
    <x v="5"/>
    <d v="2013-05-01T00:00:00"/>
    <s v="Sunrisers Hyderabad"/>
    <s v="Mumbai Indians"/>
    <m/>
    <s v="Mumbai Indians"/>
    <x v="1"/>
    <s v="Win"/>
    <x v="11"/>
    <x v="105"/>
    <x v="6"/>
    <s v="Hyderabad"/>
  </r>
  <r>
    <n v="598041"/>
    <n v="2013"/>
    <x v="5"/>
    <d v="2013-05-02T00:00:00"/>
    <s v="Chennai Super Kings"/>
    <s v="Kings XI Punjab"/>
    <m/>
    <s v="Chennai Super Kings"/>
    <x v="1"/>
    <s v="Win"/>
    <x v="1"/>
    <x v="38"/>
    <x v="7"/>
    <s v="Chennai"/>
  </r>
  <r>
    <n v="598042"/>
    <n v="2013"/>
    <x v="5"/>
    <d v="2013-05-02T00:00:00"/>
    <s v="Pune Warriors"/>
    <s v="Royal Challengers Bangalore"/>
    <m/>
    <s v="Royal Challengers Bangalore"/>
    <x v="1"/>
    <s v="Win"/>
    <x v="3"/>
    <x v="46"/>
    <x v="26"/>
    <s v="Pune"/>
  </r>
  <r>
    <n v="598043"/>
    <n v="2013"/>
    <x v="5"/>
    <d v="2013-05-03T00:00:00"/>
    <s v="Kolkata Knight Riders"/>
    <s v="Rajasthan Royals"/>
    <m/>
    <s v="Rajasthan Royals"/>
    <x v="1"/>
    <s v="Win"/>
    <x v="0"/>
    <x v="8"/>
    <x v="3"/>
    <s v="Kolkata"/>
  </r>
  <r>
    <n v="598044"/>
    <n v="2013"/>
    <x v="5"/>
    <d v="2013-05-04T00:00:00"/>
    <s v="Sunrisers Hyderabad"/>
    <s v="Delhi Daredevils"/>
    <m/>
    <s v="Delhi Daredevils"/>
    <x v="1"/>
    <s v="Win"/>
    <x v="11"/>
    <x v="145"/>
    <x v="6"/>
    <s v="Hyderabad"/>
  </r>
  <r>
    <n v="598047"/>
    <n v="2013"/>
    <x v="5"/>
    <d v="2013-05-05T00:00:00"/>
    <s v="Rajasthan Royals"/>
    <s v="Pune Warriors"/>
    <m/>
    <s v="Pune Warriors"/>
    <x v="1"/>
    <s v="Win"/>
    <x v="4"/>
    <x v="118"/>
    <x v="5"/>
    <s v="Jaipur"/>
  </r>
  <r>
    <n v="598046"/>
    <n v="2013"/>
    <x v="5"/>
    <d v="2013-05-05T00:00:00"/>
    <s v="Mumbai Indians"/>
    <s v="Chennai Super Kings"/>
    <m/>
    <s v="Mumbai Indians"/>
    <x v="1"/>
    <s v="Win"/>
    <x v="7"/>
    <x v="146"/>
    <x v="4"/>
    <s v="Mumbai"/>
  </r>
  <r>
    <n v="598064"/>
    <n v="2013"/>
    <x v="5"/>
    <d v="2013-05-06T00:00:00"/>
    <s v="Kings XI Punjab"/>
    <s v="Royal Challengers Bangalore"/>
    <m/>
    <s v="Kings XI Punjab"/>
    <x v="0"/>
    <s v="Win"/>
    <x v="5"/>
    <x v="143"/>
    <x v="1"/>
    <s v="Chandigarh"/>
  </r>
  <r>
    <n v="598050"/>
    <n v="2013"/>
    <x v="5"/>
    <d v="2013-05-07T00:00:00"/>
    <s v="Mumbai Indians"/>
    <s v="Kolkata Knight Riders"/>
    <m/>
    <s v="Mumbai Indians"/>
    <x v="1"/>
    <s v="Win"/>
    <x v="7"/>
    <x v="41"/>
    <x v="4"/>
    <s v="Mumbai"/>
  </r>
  <r>
    <n v="598049"/>
    <n v="2013"/>
    <x v="5"/>
    <d v="2013-05-07T00:00:00"/>
    <s v="Rajasthan Royals"/>
    <s v="Delhi Daredevils"/>
    <m/>
    <s v="Delhi Daredevils"/>
    <x v="1"/>
    <s v="Win"/>
    <x v="4"/>
    <x v="118"/>
    <x v="5"/>
    <s v="Jaipur"/>
  </r>
  <r>
    <n v="598051"/>
    <n v="2013"/>
    <x v="5"/>
    <d v="2013-05-08T00:00:00"/>
    <s v="Sunrisers Hyderabad"/>
    <s v="Chennai Super Kings"/>
    <m/>
    <s v="Sunrisers Hyderabad"/>
    <x v="0"/>
    <s v="Win"/>
    <x v="1"/>
    <x v="38"/>
    <x v="6"/>
    <s v="Hyderabad"/>
  </r>
  <r>
    <n v="598052"/>
    <n v="2013"/>
    <x v="5"/>
    <d v="2013-05-09T00:00:00"/>
    <s v="Kings XI Punjab"/>
    <s v="Rajasthan Royals"/>
    <m/>
    <s v="Rajasthan Royals"/>
    <x v="0"/>
    <s v="Win"/>
    <x v="4"/>
    <x v="147"/>
    <x v="1"/>
    <s v="Chandigarh"/>
  </r>
  <r>
    <n v="598053"/>
    <n v="2013"/>
    <x v="5"/>
    <d v="2013-05-09T00:00:00"/>
    <s v="Pune Warriors"/>
    <s v="Kolkata Knight Riders"/>
    <m/>
    <s v="Kolkata Knight Riders"/>
    <x v="1"/>
    <s v="Win"/>
    <x v="0"/>
    <x v="56"/>
    <x v="26"/>
    <s v="Pune"/>
  </r>
  <r>
    <n v="598054"/>
    <n v="2013"/>
    <x v="5"/>
    <d v="2013-05-10T00:00:00"/>
    <s v="Delhi Daredevils"/>
    <s v="Royal Challengers Bangalore"/>
    <m/>
    <s v="Delhi Daredevils"/>
    <x v="0"/>
    <s v="Win"/>
    <x v="3"/>
    <x v="92"/>
    <x v="2"/>
    <s v="Delhi"/>
  </r>
  <r>
    <n v="598056"/>
    <n v="2013"/>
    <x v="5"/>
    <d v="2013-05-11T00:00:00"/>
    <s v="Kings XI Punjab"/>
    <s v="Sunrisers Hyderabad"/>
    <m/>
    <s v="Kings XI Punjab"/>
    <x v="0"/>
    <s v="Win"/>
    <x v="11"/>
    <x v="148"/>
    <x v="1"/>
    <s v="Chandigarh"/>
  </r>
  <r>
    <n v="598055"/>
    <n v="2013"/>
    <x v="5"/>
    <d v="2013-05-11T00:00:00"/>
    <s v="Pune Warriors"/>
    <s v="Mumbai Indians"/>
    <m/>
    <s v="Pune Warriors"/>
    <x v="1"/>
    <s v="Win"/>
    <x v="7"/>
    <x v="146"/>
    <x v="26"/>
    <s v="Pune"/>
  </r>
  <r>
    <n v="598057"/>
    <n v="2013"/>
    <x v="5"/>
    <d v="2013-05-12T00:00:00"/>
    <s v="Kolkata Knight Riders"/>
    <s v="Royal Challengers Bangalore"/>
    <m/>
    <s v="Kolkata Knight Riders"/>
    <x v="0"/>
    <s v="Win"/>
    <x v="0"/>
    <x v="55"/>
    <x v="29"/>
    <s v="Ranchi"/>
  </r>
  <r>
    <n v="598058"/>
    <n v="2013"/>
    <x v="5"/>
    <d v="2013-05-12T00:00:00"/>
    <s v="Rajasthan Royals"/>
    <s v="Chennai Super Kings"/>
    <m/>
    <s v="Rajasthan Royals"/>
    <x v="0"/>
    <s v="Win"/>
    <x v="4"/>
    <x v="5"/>
    <x v="5"/>
    <s v="Jaipur"/>
  </r>
  <r>
    <n v="598060"/>
    <n v="2013"/>
    <x v="5"/>
    <d v="2013-05-13T00:00:00"/>
    <s v="Mumbai Indians"/>
    <s v="Sunrisers Hyderabad"/>
    <m/>
    <s v="Sunrisers Hyderabad"/>
    <x v="1"/>
    <s v="Win"/>
    <x v="7"/>
    <x v="91"/>
    <x v="4"/>
    <s v="Mumbai"/>
  </r>
  <r>
    <n v="598062"/>
    <n v="2013"/>
    <x v="5"/>
    <d v="2013-05-14T00:00:00"/>
    <s v="Chennai Super Kings"/>
    <s v="Delhi Daredevils"/>
    <m/>
    <s v="Chennai Super Kings"/>
    <x v="1"/>
    <s v="Win"/>
    <x v="1"/>
    <x v="13"/>
    <x v="7"/>
    <s v="Chennai"/>
  </r>
  <r>
    <n v="598045"/>
    <n v="2013"/>
    <x v="5"/>
    <d v="2013-05-14T00:00:00"/>
    <s v="Royal Challengers Bangalore"/>
    <s v="Kings XI Punjab"/>
    <m/>
    <s v="Kings XI Punjab"/>
    <x v="0"/>
    <s v="Win"/>
    <x v="5"/>
    <x v="12"/>
    <x v="0"/>
    <s v="Bangalore"/>
  </r>
  <r>
    <n v="598061"/>
    <n v="2013"/>
    <x v="5"/>
    <d v="2013-05-15T00:00:00"/>
    <s v="Kolkata Knight Riders"/>
    <s v="Pune Warriors"/>
    <m/>
    <s v="Kolkata Knight Riders"/>
    <x v="0"/>
    <s v="Win"/>
    <x v="9"/>
    <x v="68"/>
    <x v="29"/>
    <s v="Ranchi"/>
  </r>
  <r>
    <n v="598063"/>
    <n v="2013"/>
    <x v="5"/>
    <d v="2013-05-15T00:00:00"/>
    <s v="Mumbai Indians"/>
    <s v="Rajasthan Royals"/>
    <m/>
    <s v="Rajasthan Royals"/>
    <x v="0"/>
    <s v="Win"/>
    <x v="7"/>
    <x v="149"/>
    <x v="4"/>
    <s v="Mumbai"/>
  </r>
  <r>
    <n v="598028"/>
    <n v="2013"/>
    <x v="5"/>
    <d v="2013-05-16T00:00:00"/>
    <s v="Kings XI Punjab"/>
    <s v="Delhi Daredevils"/>
    <m/>
    <s v="Delhi Daredevils"/>
    <x v="0"/>
    <s v="Win"/>
    <x v="5"/>
    <x v="143"/>
    <x v="22"/>
    <s v="Dharamsala"/>
  </r>
  <r>
    <n v="598065"/>
    <n v="2013"/>
    <x v="5"/>
    <d v="2013-05-17T00:00:00"/>
    <s v="Sunrisers Hyderabad"/>
    <s v="Rajasthan Royals"/>
    <m/>
    <s v="Sunrisers Hyderabad"/>
    <x v="1"/>
    <s v="Win"/>
    <x v="11"/>
    <x v="27"/>
    <x v="6"/>
    <s v="Hyderabad"/>
  </r>
  <r>
    <n v="598068"/>
    <n v="2013"/>
    <x v="5"/>
    <d v="2013-05-18T00:00:00"/>
    <s v="Royal Challengers Bangalore"/>
    <s v="Chennai Super Kings"/>
    <m/>
    <s v="Chennai Super Kings"/>
    <x v="0"/>
    <s v="Win"/>
    <x v="3"/>
    <x v="104"/>
    <x v="0"/>
    <s v="Bangalore"/>
  </r>
  <r>
    <n v="598066"/>
    <n v="2013"/>
    <x v="5"/>
    <d v="2013-05-18T00:00:00"/>
    <s v="Kings XI Punjab"/>
    <s v="Mumbai Indians"/>
    <m/>
    <s v="Mumbai Indians"/>
    <x v="0"/>
    <s v="Win"/>
    <x v="5"/>
    <x v="133"/>
    <x v="22"/>
    <s v="Dharamsala"/>
  </r>
  <r>
    <n v="598067"/>
    <n v="2013"/>
    <x v="5"/>
    <d v="2013-05-19T00:00:00"/>
    <s v="Pune Warriors"/>
    <s v="Delhi Daredevils"/>
    <m/>
    <s v="Pune Warriors"/>
    <x v="1"/>
    <s v="Win"/>
    <x v="9"/>
    <x v="150"/>
    <x v="26"/>
    <s v="Pune"/>
  </r>
  <r>
    <n v="598069"/>
    <n v="2013"/>
    <x v="5"/>
    <d v="2013-05-19T00:00:00"/>
    <s v="Sunrisers Hyderabad"/>
    <s v="Kolkata Knight Riders"/>
    <m/>
    <s v="Kolkata Knight Riders"/>
    <x v="1"/>
    <s v="Win"/>
    <x v="11"/>
    <x v="148"/>
    <x v="6"/>
    <s v="Hyderabad"/>
  </r>
  <r>
    <n v="598070"/>
    <n v="2013"/>
    <x v="5"/>
    <d v="2013-05-21T00:00:00"/>
    <s v="Chennai Super Kings"/>
    <s v="Mumbai Indians"/>
    <m/>
    <s v="Chennai Super Kings"/>
    <x v="1"/>
    <s v="Win"/>
    <x v="1"/>
    <x v="1"/>
    <x v="2"/>
    <s v="Delhi"/>
  </r>
  <r>
    <n v="598071"/>
    <n v="2013"/>
    <x v="5"/>
    <d v="2013-05-22T00:00:00"/>
    <s v="Rajasthan Royals"/>
    <s v="Sunrisers Hyderabad"/>
    <m/>
    <s v="Sunrisers Hyderabad"/>
    <x v="1"/>
    <s v="Win"/>
    <x v="4"/>
    <x v="66"/>
    <x v="2"/>
    <s v="Delhi"/>
  </r>
  <r>
    <n v="598072"/>
    <n v="2013"/>
    <x v="5"/>
    <d v="2013-05-24T00:00:00"/>
    <s v="Mumbai Indians"/>
    <s v="Rajasthan Royals"/>
    <m/>
    <s v="Rajasthan Royals"/>
    <x v="1"/>
    <s v="Win"/>
    <x v="7"/>
    <x v="62"/>
    <x v="3"/>
    <s v="Kolkata"/>
  </r>
  <r>
    <n v="598073"/>
    <n v="2013"/>
    <x v="5"/>
    <d v="2013-05-26T00:00:00"/>
    <s v="Chennai Super Kings"/>
    <s v="Mumbai Indians"/>
    <m/>
    <s v="Mumbai Indians"/>
    <x v="1"/>
    <s v="Win"/>
    <x v="7"/>
    <x v="91"/>
    <x v="3"/>
    <s v="Kolkata"/>
  </r>
  <r>
    <n v="729279"/>
    <n v="2014"/>
    <x v="6"/>
    <d v="2014-04-16T00:00:00"/>
    <s v="Mumbai Indians"/>
    <s v="Kolkata Knight Riders"/>
    <m/>
    <s v="Kolkata Knight Riders"/>
    <x v="1"/>
    <s v="Win"/>
    <x v="0"/>
    <x v="55"/>
    <x v="30"/>
    <s v="Abu Dhabi"/>
  </r>
  <r>
    <n v="729281"/>
    <n v="2014"/>
    <x v="6"/>
    <d v="2014-04-17T00:00:00"/>
    <s v="Delhi Daredevils"/>
    <s v="Royal Challengers Bangalore"/>
    <m/>
    <s v="Royal Challengers Bangalore"/>
    <x v="0"/>
    <s v="Win"/>
    <x v="3"/>
    <x v="151"/>
    <x v="31"/>
    <s v="NA"/>
  </r>
  <r>
    <n v="729285"/>
    <n v="2014"/>
    <x v="6"/>
    <d v="2014-04-18T00:00:00"/>
    <s v="Sunrisers Hyderabad"/>
    <s v="Rajasthan Royals"/>
    <m/>
    <s v="Rajasthan Royals"/>
    <x v="0"/>
    <s v="Win"/>
    <x v="4"/>
    <x v="118"/>
    <x v="30"/>
    <s v="Abu Dhabi"/>
  </r>
  <r>
    <n v="729283"/>
    <n v="2014"/>
    <x v="6"/>
    <d v="2014-04-18T00:00:00"/>
    <s v="Chennai Super Kings"/>
    <s v="Kings XI Punjab"/>
    <m/>
    <s v="Chennai Super Kings"/>
    <x v="1"/>
    <s v="Win"/>
    <x v="5"/>
    <x v="152"/>
    <x v="30"/>
    <s v="Abu Dhabi"/>
  </r>
  <r>
    <n v="729287"/>
    <n v="2014"/>
    <x v="6"/>
    <d v="2014-04-19T00:00:00"/>
    <s v="Royal Challengers Bangalore"/>
    <s v="Mumbai Indians"/>
    <m/>
    <s v="Royal Challengers Bangalore"/>
    <x v="0"/>
    <s v="Win"/>
    <x v="3"/>
    <x v="148"/>
    <x v="32"/>
    <s v="NA"/>
  </r>
  <r>
    <n v="729289"/>
    <n v="2014"/>
    <x v="6"/>
    <d v="2014-04-19T00:00:00"/>
    <s v="Kolkata Knight Riders"/>
    <s v="Delhi Daredevils"/>
    <m/>
    <s v="Kolkata Knight Riders"/>
    <x v="1"/>
    <s v="Win"/>
    <x v="2"/>
    <x v="53"/>
    <x v="32"/>
    <s v="NA"/>
  </r>
  <r>
    <n v="729291"/>
    <n v="2014"/>
    <x v="6"/>
    <d v="2014-04-20T00:00:00"/>
    <s v="Rajasthan Royals"/>
    <s v="Kings XI Punjab"/>
    <m/>
    <s v="Kings XI Punjab"/>
    <x v="0"/>
    <s v="Win"/>
    <x v="5"/>
    <x v="152"/>
    <x v="31"/>
    <s v="NA"/>
  </r>
  <r>
    <n v="729293"/>
    <n v="2014"/>
    <x v="6"/>
    <d v="2014-04-21T00:00:00"/>
    <s v="Chennai Super Kings"/>
    <s v="Delhi Daredevils"/>
    <m/>
    <s v="Chennai Super Kings"/>
    <x v="1"/>
    <s v="Win"/>
    <x v="1"/>
    <x v="38"/>
    <x v="30"/>
    <s v="Abu Dhabi"/>
  </r>
  <r>
    <n v="729295"/>
    <n v="2014"/>
    <x v="6"/>
    <d v="2014-04-22T00:00:00"/>
    <s v="Kings XI Punjab"/>
    <s v="Sunrisers Hyderabad"/>
    <m/>
    <s v="Sunrisers Hyderabad"/>
    <x v="0"/>
    <s v="Win"/>
    <x v="5"/>
    <x v="152"/>
    <x v="31"/>
    <s v="NA"/>
  </r>
  <r>
    <n v="729297"/>
    <n v="2014"/>
    <x v="6"/>
    <d v="2014-04-23T00:00:00"/>
    <s v="Rajasthan Royals"/>
    <s v="Chennai Super Kings"/>
    <m/>
    <s v="Rajasthan Royals"/>
    <x v="0"/>
    <s v="Win"/>
    <x v="1"/>
    <x v="120"/>
    <x v="32"/>
    <s v="NA"/>
  </r>
  <r>
    <n v="729299"/>
    <n v="2014"/>
    <x v="6"/>
    <d v="2014-04-24T00:00:00"/>
    <s v="Royal Challengers Bangalore"/>
    <s v="Kolkata Knight Riders"/>
    <m/>
    <s v="Royal Challengers Bangalore"/>
    <x v="0"/>
    <s v="Win"/>
    <x v="0"/>
    <x v="153"/>
    <x v="31"/>
    <s v="NA"/>
  </r>
  <r>
    <n v="729303"/>
    <n v="2014"/>
    <x v="6"/>
    <d v="2014-04-25T00:00:00"/>
    <s v="Chennai Super Kings"/>
    <s v="Mumbai Indians"/>
    <m/>
    <s v="Mumbai Indians"/>
    <x v="1"/>
    <s v="Win"/>
    <x v="1"/>
    <x v="154"/>
    <x v="32"/>
    <s v="NA"/>
  </r>
  <r>
    <n v="729301"/>
    <n v="2014"/>
    <x v="6"/>
    <d v="2014-04-25T00:00:00"/>
    <s v="Sunrisers Hyderabad"/>
    <s v="Delhi Daredevils"/>
    <m/>
    <s v="Sunrisers Hyderabad"/>
    <x v="1"/>
    <s v="Win"/>
    <x v="11"/>
    <x v="140"/>
    <x v="32"/>
    <s v="NA"/>
  </r>
  <r>
    <n v="729307"/>
    <n v="2014"/>
    <x v="6"/>
    <d v="2014-04-26T00:00:00"/>
    <s v="Kolkata Knight Riders"/>
    <s v="Kings XI Punjab"/>
    <m/>
    <s v="Kolkata Knight Riders"/>
    <x v="0"/>
    <s v="Win"/>
    <x v="5"/>
    <x v="155"/>
    <x v="30"/>
    <s v="Abu Dhabi"/>
  </r>
  <r>
    <n v="729305"/>
    <n v="2014"/>
    <x v="6"/>
    <d v="2014-04-26T00:00:00"/>
    <s v="Rajasthan Royals"/>
    <s v="Royal Challengers Bangalore"/>
    <m/>
    <s v="Rajasthan Royals"/>
    <x v="0"/>
    <s v="Win"/>
    <x v="4"/>
    <x v="156"/>
    <x v="30"/>
    <s v="Abu Dhabi"/>
  </r>
  <r>
    <n v="729309"/>
    <n v="2014"/>
    <x v="6"/>
    <d v="2014-04-27T00:00:00"/>
    <s v="Delhi Daredevils"/>
    <s v="Mumbai Indians"/>
    <m/>
    <s v="Mumbai Indians"/>
    <x v="1"/>
    <s v="Win"/>
    <x v="2"/>
    <x v="81"/>
    <x v="31"/>
    <s v="NA"/>
  </r>
  <r>
    <n v="729311"/>
    <n v="2014"/>
    <x v="6"/>
    <d v="2014-04-27T00:00:00"/>
    <s v="Sunrisers Hyderabad"/>
    <s v="Chennai Super Kings"/>
    <m/>
    <s v="Sunrisers Hyderabad"/>
    <x v="1"/>
    <s v="Win"/>
    <x v="1"/>
    <x v="60"/>
    <x v="31"/>
    <s v="NA"/>
  </r>
  <r>
    <n v="729313"/>
    <n v="2014"/>
    <x v="6"/>
    <d v="2014-04-28T00:00:00"/>
    <s v="Kings XI Punjab"/>
    <s v="Royal Challengers Bangalore"/>
    <m/>
    <s v="Kings XI Punjab"/>
    <x v="0"/>
    <s v="Win"/>
    <x v="5"/>
    <x v="155"/>
    <x v="32"/>
    <s v="NA"/>
  </r>
  <r>
    <n v="729315"/>
    <n v="2014"/>
    <x v="6"/>
    <d v="2014-04-29T00:00:00"/>
    <s v="Kolkata Knight Riders"/>
    <s v="Rajasthan Royals"/>
    <m/>
    <s v="Rajasthan Royals"/>
    <x v="1"/>
    <s v="tie"/>
    <x v="8"/>
    <x v="141"/>
    <x v="30"/>
    <s v="Abu Dhabi"/>
  </r>
  <r>
    <n v="729317"/>
    <n v="2014"/>
    <x v="6"/>
    <d v="2014-04-30T00:00:00"/>
    <s v="Mumbai Indians"/>
    <s v="Sunrisers Hyderabad"/>
    <m/>
    <s v="Mumbai Indians"/>
    <x v="0"/>
    <s v="Win"/>
    <x v="11"/>
    <x v="157"/>
    <x v="32"/>
    <s v="NA"/>
  </r>
  <r>
    <n v="733971"/>
    <n v="2014"/>
    <x v="6"/>
    <d v="2014-05-02T00:00:00"/>
    <s v="Chennai Super Kings"/>
    <s v="Kolkata Knight Riders"/>
    <m/>
    <s v="Chennai Super Kings"/>
    <x v="1"/>
    <s v="Win"/>
    <x v="1"/>
    <x v="120"/>
    <x v="29"/>
    <s v="Ranchi"/>
  </r>
  <r>
    <n v="733975"/>
    <n v="2014"/>
    <x v="6"/>
    <d v="2014-05-03T00:00:00"/>
    <s v="Delhi Daredevils"/>
    <s v="Rajasthan Royals"/>
    <m/>
    <s v="Rajasthan Royals"/>
    <x v="0"/>
    <s v="Win"/>
    <x v="4"/>
    <x v="158"/>
    <x v="2"/>
    <s v="Delhi"/>
  </r>
  <r>
    <n v="733973"/>
    <n v="2014"/>
    <x v="6"/>
    <d v="2014-05-03T00:00:00"/>
    <s v="Mumbai Indians"/>
    <s v="Kings XI Punjab"/>
    <m/>
    <s v="Kings XI Punjab"/>
    <x v="1"/>
    <s v="Win"/>
    <x v="7"/>
    <x v="159"/>
    <x v="4"/>
    <s v="Mumbai"/>
  </r>
  <r>
    <n v="733977"/>
    <n v="2014"/>
    <x v="6"/>
    <d v="2014-05-04T00:00:00"/>
    <s v="Royal Challengers Bangalore"/>
    <s v="Sunrisers Hyderabad"/>
    <m/>
    <s v="Royal Challengers Bangalore"/>
    <x v="0"/>
    <s v="Win"/>
    <x v="3"/>
    <x v="46"/>
    <x v="0"/>
    <s v="Bangalore"/>
  </r>
  <r>
    <n v="733981"/>
    <n v="2014"/>
    <x v="6"/>
    <d v="2014-05-05T00:00:00"/>
    <s v="Delhi Daredevils"/>
    <s v="Chennai Super Kings"/>
    <m/>
    <s v="Chennai Super Kings"/>
    <x v="0"/>
    <s v="Win"/>
    <x v="1"/>
    <x v="60"/>
    <x v="2"/>
    <s v="Delhi"/>
  </r>
  <r>
    <n v="733979"/>
    <n v="2014"/>
    <x v="6"/>
    <d v="2014-05-05T00:00:00"/>
    <s v="Rajasthan Royals"/>
    <s v="Kolkata Knight Riders"/>
    <m/>
    <s v="Kolkata Knight Riders"/>
    <x v="0"/>
    <s v="Win"/>
    <x v="4"/>
    <x v="156"/>
    <x v="18"/>
    <s v="Ahmedabad"/>
  </r>
  <r>
    <n v="733983"/>
    <n v="2014"/>
    <x v="6"/>
    <d v="2014-05-06T00:00:00"/>
    <s v="Mumbai Indians"/>
    <s v="Royal Challengers Bangalore"/>
    <m/>
    <s v="Royal Challengers Bangalore"/>
    <x v="0"/>
    <s v="Win"/>
    <x v="7"/>
    <x v="57"/>
    <x v="4"/>
    <s v="Mumbai"/>
  </r>
  <r>
    <n v="733985"/>
    <n v="2014"/>
    <x v="6"/>
    <d v="2014-05-07T00:00:00"/>
    <s v="Delhi Daredevils"/>
    <s v="Kolkata Knight Riders"/>
    <m/>
    <s v="Delhi Daredevils"/>
    <x v="1"/>
    <s v="Win"/>
    <x v="0"/>
    <x v="56"/>
    <x v="2"/>
    <s v="Delhi"/>
  </r>
  <r>
    <n v="733987"/>
    <n v="2014"/>
    <x v="6"/>
    <d v="2014-05-07T00:00:00"/>
    <s v="Kings XI Punjab"/>
    <s v="Chennai Super Kings"/>
    <m/>
    <s v="Chennai Super Kings"/>
    <x v="0"/>
    <s v="Win"/>
    <x v="5"/>
    <x v="152"/>
    <x v="19"/>
    <s v="Cuttack"/>
  </r>
  <r>
    <n v="733989"/>
    <n v="2014"/>
    <x v="6"/>
    <d v="2014-05-08T00:00:00"/>
    <s v="Rajasthan Royals"/>
    <s v="Sunrisers Hyderabad"/>
    <m/>
    <s v="Rajasthan Royals"/>
    <x v="0"/>
    <s v="Win"/>
    <x v="11"/>
    <x v="157"/>
    <x v="18"/>
    <s v="Ahmedabad"/>
  </r>
  <r>
    <n v="733991"/>
    <n v="2014"/>
    <x v="6"/>
    <d v="2014-05-09T00:00:00"/>
    <s v="Royal Challengers Bangalore"/>
    <s v="Kings XI Punjab"/>
    <m/>
    <s v="Royal Challengers Bangalore"/>
    <x v="0"/>
    <s v="Win"/>
    <x v="5"/>
    <x v="155"/>
    <x v="0"/>
    <s v="Bangalore"/>
  </r>
  <r>
    <n v="733993"/>
    <n v="2014"/>
    <x v="6"/>
    <d v="2014-05-10T00:00:00"/>
    <s v="Delhi Daredevils"/>
    <s v="Sunrisers Hyderabad"/>
    <m/>
    <s v="Sunrisers Hyderabad"/>
    <x v="0"/>
    <s v="Win"/>
    <x v="11"/>
    <x v="101"/>
    <x v="2"/>
    <s v="Delhi"/>
  </r>
  <r>
    <n v="733995"/>
    <n v="2014"/>
    <x v="6"/>
    <d v="2014-05-10T00:00:00"/>
    <s v="Mumbai Indians"/>
    <s v="Chennai Super Kings"/>
    <m/>
    <s v="Chennai Super Kings"/>
    <x v="0"/>
    <s v="Win"/>
    <x v="1"/>
    <x v="60"/>
    <x v="4"/>
    <s v="Mumbai"/>
  </r>
  <r>
    <n v="733999"/>
    <n v="2014"/>
    <x v="6"/>
    <d v="2014-05-11T00:00:00"/>
    <s v="Royal Challengers Bangalore"/>
    <s v="Rajasthan Royals"/>
    <m/>
    <s v="Royal Challengers Bangalore"/>
    <x v="1"/>
    <s v="Win"/>
    <x v="4"/>
    <x v="141"/>
    <x v="0"/>
    <s v="Bangalore"/>
  </r>
  <r>
    <n v="733997"/>
    <n v="2014"/>
    <x v="6"/>
    <d v="2014-05-11T00:00:00"/>
    <s v="Kings XI Punjab"/>
    <s v="Kolkata Knight Riders"/>
    <m/>
    <s v="Kolkata Knight Riders"/>
    <x v="0"/>
    <s v="Win"/>
    <x v="0"/>
    <x v="56"/>
    <x v="19"/>
    <s v="Cuttack"/>
  </r>
  <r>
    <n v="734001"/>
    <n v="2014"/>
    <x v="6"/>
    <d v="2014-05-12T00:00:00"/>
    <s v="Sunrisers Hyderabad"/>
    <s v="Mumbai Indians"/>
    <m/>
    <s v="Sunrisers Hyderabad"/>
    <x v="1"/>
    <s v="Win"/>
    <x v="7"/>
    <x v="83"/>
    <x v="6"/>
    <s v="Hyderabad"/>
  </r>
  <r>
    <n v="734005"/>
    <n v="2014"/>
    <x v="6"/>
    <d v="2014-05-13T00:00:00"/>
    <s v="Royal Challengers Bangalore"/>
    <s v="Delhi Daredevils"/>
    <m/>
    <s v="Delhi Daredevils"/>
    <x v="0"/>
    <s v="Win"/>
    <x v="3"/>
    <x v="52"/>
    <x v="0"/>
    <s v="Bangalore"/>
  </r>
  <r>
    <n v="734003"/>
    <n v="2014"/>
    <x v="6"/>
    <d v="2014-05-13T00:00:00"/>
    <s v="Chennai Super Kings"/>
    <s v="Rajasthan Royals"/>
    <m/>
    <s v="Rajasthan Royals"/>
    <x v="1"/>
    <s v="Win"/>
    <x v="1"/>
    <x v="120"/>
    <x v="29"/>
    <s v="Ranchi"/>
  </r>
  <r>
    <n v="734009"/>
    <n v="2014"/>
    <x v="6"/>
    <d v="2014-05-14T00:00:00"/>
    <s v="Kolkata Knight Riders"/>
    <s v="Mumbai Indians"/>
    <m/>
    <s v="Kolkata Knight Riders"/>
    <x v="0"/>
    <s v="Win"/>
    <x v="0"/>
    <x v="75"/>
    <x v="19"/>
    <s v="Cuttack"/>
  </r>
  <r>
    <n v="734007"/>
    <n v="2014"/>
    <x v="6"/>
    <d v="2014-05-14T00:00:00"/>
    <s v="Sunrisers Hyderabad"/>
    <s v="Kings XI Punjab"/>
    <m/>
    <s v="Kings XI Punjab"/>
    <x v="0"/>
    <s v="Win"/>
    <x v="5"/>
    <x v="113"/>
    <x v="6"/>
    <s v="Hyderabad"/>
  </r>
  <r>
    <n v="734011"/>
    <n v="2014"/>
    <x v="6"/>
    <d v="2014-05-15T00:00:00"/>
    <s v="Rajasthan Royals"/>
    <s v="Delhi Daredevils"/>
    <m/>
    <s v="Delhi Daredevils"/>
    <x v="0"/>
    <s v="Win"/>
    <x v="4"/>
    <x v="118"/>
    <x v="18"/>
    <s v="Ahmedabad"/>
  </r>
  <r>
    <n v="734013"/>
    <n v="2014"/>
    <x v="6"/>
    <d v="2014-05-18T00:00:00"/>
    <s v="Chennai Super Kings"/>
    <s v="Royal Challengers Bangalore"/>
    <m/>
    <s v="Chennai Super Kings"/>
    <x v="1"/>
    <s v="Win"/>
    <x v="3"/>
    <x v="46"/>
    <x v="29"/>
    <s v="Ranchi"/>
  </r>
  <r>
    <n v="734015"/>
    <n v="2014"/>
    <x v="6"/>
    <d v="2014-05-18T00:00:00"/>
    <s v="Sunrisers Hyderabad"/>
    <s v="Kolkata Knight Riders"/>
    <m/>
    <s v="Sunrisers Hyderabad"/>
    <x v="1"/>
    <s v="Win"/>
    <x v="0"/>
    <x v="136"/>
    <x v="6"/>
    <s v="Hyderabad"/>
  </r>
  <r>
    <n v="734017"/>
    <n v="2014"/>
    <x v="6"/>
    <d v="2014-05-19T00:00:00"/>
    <s v="Rajasthan Royals"/>
    <s v="Mumbai Indians"/>
    <m/>
    <s v="Mumbai Indians"/>
    <x v="1"/>
    <s v="Win"/>
    <x v="7"/>
    <x v="1"/>
    <x v="18"/>
    <s v="Ahmedabad"/>
  </r>
  <r>
    <n v="734019"/>
    <n v="2014"/>
    <x v="6"/>
    <d v="2014-05-19T00:00:00"/>
    <s v="Delhi Daredevils"/>
    <s v="Kings XI Punjab"/>
    <m/>
    <s v="Kings XI Punjab"/>
    <x v="0"/>
    <s v="Win"/>
    <x v="5"/>
    <x v="160"/>
    <x v="2"/>
    <s v="Delhi"/>
  </r>
  <r>
    <n v="734021"/>
    <n v="2014"/>
    <x v="6"/>
    <d v="2014-05-20T00:00:00"/>
    <s v="Sunrisers Hyderabad"/>
    <s v="Royal Challengers Bangalore"/>
    <m/>
    <s v="Royal Challengers Bangalore"/>
    <x v="1"/>
    <s v="Win"/>
    <x v="11"/>
    <x v="79"/>
    <x v="6"/>
    <s v="Hyderabad"/>
  </r>
  <r>
    <n v="734023"/>
    <n v="2014"/>
    <x v="6"/>
    <d v="2014-05-20T00:00:00"/>
    <s v="Kolkata Knight Riders"/>
    <s v="Chennai Super Kings"/>
    <m/>
    <s v="Kolkata Knight Riders"/>
    <x v="0"/>
    <s v="Win"/>
    <x v="0"/>
    <x v="75"/>
    <x v="3"/>
    <s v="Kolkata"/>
  </r>
  <r>
    <n v="734025"/>
    <n v="2014"/>
    <x v="6"/>
    <d v="2014-05-21T00:00:00"/>
    <s v="Kings XI Punjab"/>
    <s v="Mumbai Indians"/>
    <m/>
    <s v="Mumbai Indians"/>
    <x v="0"/>
    <s v="Win"/>
    <x v="7"/>
    <x v="161"/>
    <x v="1"/>
    <s v="Chandigarh"/>
  </r>
  <r>
    <n v="734027"/>
    <n v="2014"/>
    <x v="6"/>
    <d v="2014-05-22T00:00:00"/>
    <s v="Kolkata Knight Riders"/>
    <s v="Royal Challengers Bangalore"/>
    <m/>
    <s v="Royal Challengers Bangalore"/>
    <x v="0"/>
    <s v="Win"/>
    <x v="0"/>
    <x v="75"/>
    <x v="3"/>
    <s v="Kolkata"/>
  </r>
  <r>
    <n v="734029"/>
    <n v="2014"/>
    <x v="6"/>
    <d v="2014-05-22T00:00:00"/>
    <s v="Chennai Super Kings"/>
    <s v="Sunrisers Hyderabad"/>
    <m/>
    <s v="Sunrisers Hyderabad"/>
    <x v="0"/>
    <s v="Win"/>
    <x v="11"/>
    <x v="79"/>
    <x v="29"/>
    <s v="Ranchi"/>
  </r>
  <r>
    <n v="734031"/>
    <n v="2014"/>
    <x v="6"/>
    <d v="2014-05-23T00:00:00"/>
    <s v="Mumbai Indians"/>
    <s v="Delhi Daredevils"/>
    <m/>
    <s v="Delhi Daredevils"/>
    <x v="0"/>
    <s v="Win"/>
    <x v="7"/>
    <x v="1"/>
    <x v="4"/>
    <s v="Mumbai"/>
  </r>
  <r>
    <n v="734033"/>
    <n v="2014"/>
    <x v="6"/>
    <d v="2014-05-23T00:00:00"/>
    <s v="Kings XI Punjab"/>
    <s v="Rajasthan Royals"/>
    <m/>
    <s v="Rajasthan Royals"/>
    <x v="0"/>
    <s v="Win"/>
    <x v="5"/>
    <x v="16"/>
    <x v="1"/>
    <s v="Chandigarh"/>
  </r>
  <r>
    <n v="734035"/>
    <n v="2014"/>
    <x v="6"/>
    <d v="2014-05-24T00:00:00"/>
    <s v="Royal Challengers Bangalore"/>
    <s v="Chennai Super Kings"/>
    <m/>
    <s v="Chennai Super Kings"/>
    <x v="0"/>
    <s v="Win"/>
    <x v="1"/>
    <x v="13"/>
    <x v="0"/>
    <s v="Bangalore"/>
  </r>
  <r>
    <n v="734037"/>
    <n v="2014"/>
    <x v="6"/>
    <d v="2014-05-24T00:00:00"/>
    <s v="Kolkata Knight Riders"/>
    <s v="Sunrisers Hyderabad"/>
    <m/>
    <s v="Kolkata Knight Riders"/>
    <x v="0"/>
    <s v="Win"/>
    <x v="0"/>
    <x v="8"/>
    <x v="3"/>
    <s v="Kolkata"/>
  </r>
  <r>
    <n v="734039"/>
    <n v="2014"/>
    <x v="6"/>
    <d v="2014-05-25T00:00:00"/>
    <s v="Kings XI Punjab"/>
    <s v="Delhi Daredevils"/>
    <m/>
    <s v="Kings XI Punjab"/>
    <x v="0"/>
    <s v="Win"/>
    <x v="5"/>
    <x v="138"/>
    <x v="1"/>
    <s v="Chandigarh"/>
  </r>
  <r>
    <n v="734041"/>
    <n v="2014"/>
    <x v="6"/>
    <d v="2014-05-25T00:00:00"/>
    <s v="Mumbai Indians"/>
    <s v="Rajasthan Royals"/>
    <m/>
    <s v="Mumbai Indians"/>
    <x v="0"/>
    <s v="Win"/>
    <x v="7"/>
    <x v="159"/>
    <x v="4"/>
    <s v="Mumbai"/>
  </r>
  <r>
    <n v="734043"/>
    <n v="2014"/>
    <x v="6"/>
    <d v="2014-05-27T00:00:00"/>
    <s v="Kings XI Punjab"/>
    <s v="Kolkata Knight Riders"/>
    <m/>
    <s v="Kings XI Punjab"/>
    <x v="0"/>
    <s v="Win"/>
    <x v="0"/>
    <x v="136"/>
    <x v="3"/>
    <s v="Kolkata"/>
  </r>
  <r>
    <n v="734045"/>
    <n v="2014"/>
    <x v="6"/>
    <d v="2014-05-28T00:00:00"/>
    <s v="Chennai Super Kings"/>
    <s v="Mumbai Indians"/>
    <m/>
    <s v="Chennai Super Kings"/>
    <x v="0"/>
    <s v="Win"/>
    <x v="1"/>
    <x v="38"/>
    <x v="17"/>
    <s v="Mumbai"/>
  </r>
  <r>
    <n v="734047"/>
    <n v="2014"/>
    <x v="6"/>
    <d v="2014-05-30T00:00:00"/>
    <s v="Chennai Super Kings"/>
    <s v="Kings XI Punjab"/>
    <m/>
    <s v="Chennai Super Kings"/>
    <x v="0"/>
    <s v="Win"/>
    <x v="5"/>
    <x v="6"/>
    <x v="4"/>
    <s v="Mumbai"/>
  </r>
  <r>
    <n v="734049"/>
    <n v="2014"/>
    <x v="6"/>
    <d v="2014-06-01T00:00:00"/>
    <s v="Kolkata Knight Riders"/>
    <s v="Kings XI Punjab"/>
    <m/>
    <s v="Kolkata Knight Riders"/>
    <x v="0"/>
    <s v="Win"/>
    <x v="0"/>
    <x v="68"/>
    <x v="0"/>
    <s v="Bangalore"/>
  </r>
  <r>
    <n v="829705"/>
    <n v="2015"/>
    <x v="7"/>
    <d v="2015-04-08T00:00:00"/>
    <s v="Kolkata Knight Riders"/>
    <s v="Mumbai Indians"/>
    <m/>
    <s v="Kolkata Knight Riders"/>
    <x v="0"/>
    <s v="Win"/>
    <x v="0"/>
    <x v="122"/>
    <x v="3"/>
    <s v="Kolkata"/>
  </r>
  <r>
    <n v="829707"/>
    <n v="2015"/>
    <x v="7"/>
    <d v="2015-04-09T00:00:00"/>
    <s v="Chennai Super Kings"/>
    <s v="Delhi Daredevils"/>
    <m/>
    <s v="Delhi Daredevils"/>
    <x v="0"/>
    <s v="Win"/>
    <x v="1"/>
    <x v="23"/>
    <x v="7"/>
    <s v="Chennai"/>
  </r>
  <r>
    <n v="829709"/>
    <n v="2015"/>
    <x v="7"/>
    <d v="2015-04-10T00:00:00"/>
    <s v="Kings XI Punjab"/>
    <s v="Rajasthan Royals"/>
    <m/>
    <s v="Kings XI Punjab"/>
    <x v="0"/>
    <s v="Win"/>
    <x v="4"/>
    <x v="141"/>
    <x v="27"/>
    <s v="Pune"/>
  </r>
  <r>
    <n v="829713"/>
    <n v="2015"/>
    <x v="7"/>
    <d v="2015-04-11T00:00:00"/>
    <s v="Kolkata Knight Riders"/>
    <s v="Royal Challengers Bangalore"/>
    <m/>
    <s v="Royal Challengers Bangalore"/>
    <x v="0"/>
    <s v="Win"/>
    <x v="3"/>
    <x v="45"/>
    <x v="3"/>
    <s v="Kolkata"/>
  </r>
  <r>
    <n v="829711"/>
    <n v="2015"/>
    <x v="7"/>
    <d v="2015-04-11T00:00:00"/>
    <s v="Chennai Super Kings"/>
    <s v="Sunrisers Hyderabad"/>
    <m/>
    <s v="Chennai Super Kings"/>
    <x v="1"/>
    <s v="Win"/>
    <x v="1"/>
    <x v="0"/>
    <x v="7"/>
    <s v="Chennai"/>
  </r>
  <r>
    <n v="829715"/>
    <n v="2015"/>
    <x v="7"/>
    <d v="2015-04-12T00:00:00"/>
    <s v="Delhi Daredevils"/>
    <s v="Rajasthan Royals"/>
    <m/>
    <s v="Rajasthan Royals"/>
    <x v="0"/>
    <s v="Win"/>
    <x v="4"/>
    <x v="162"/>
    <x v="2"/>
    <s v="Delhi"/>
  </r>
  <r>
    <n v="829717"/>
    <n v="2015"/>
    <x v="7"/>
    <d v="2015-04-12T00:00:00"/>
    <s v="Mumbai Indians"/>
    <s v="Kings XI Punjab"/>
    <m/>
    <s v="Mumbai Indians"/>
    <x v="0"/>
    <s v="Win"/>
    <x v="5"/>
    <x v="163"/>
    <x v="4"/>
    <s v="Mumbai"/>
  </r>
  <r>
    <n v="829719"/>
    <n v="2015"/>
    <x v="7"/>
    <d v="2015-04-13T00:00:00"/>
    <s v="Royal Challengers Bangalore"/>
    <s v="Sunrisers Hyderabad"/>
    <m/>
    <s v="Sunrisers Hyderabad"/>
    <x v="0"/>
    <s v="Win"/>
    <x v="11"/>
    <x v="79"/>
    <x v="0"/>
    <s v="Bangalore"/>
  </r>
  <r>
    <n v="829721"/>
    <n v="2015"/>
    <x v="7"/>
    <d v="2015-04-14T00:00:00"/>
    <s v="Rajasthan Royals"/>
    <s v="Mumbai Indians"/>
    <m/>
    <s v="Mumbai Indians"/>
    <x v="1"/>
    <s v="Win"/>
    <x v="4"/>
    <x v="119"/>
    <x v="18"/>
    <s v="Ahmedabad"/>
  </r>
  <r>
    <n v="829725"/>
    <n v="2015"/>
    <x v="7"/>
    <d v="2015-04-15T00:00:00"/>
    <s v="Kings XI Punjab"/>
    <s v="Delhi Daredevils"/>
    <m/>
    <s v="Kings XI Punjab"/>
    <x v="1"/>
    <s v="Win"/>
    <x v="2"/>
    <x v="164"/>
    <x v="27"/>
    <s v="Pune"/>
  </r>
  <r>
    <n v="829727"/>
    <n v="2015"/>
    <x v="7"/>
    <d v="2015-04-16T00:00:00"/>
    <s v="Sunrisers Hyderabad"/>
    <s v="Rajasthan Royals"/>
    <m/>
    <s v="Rajasthan Royals"/>
    <x v="0"/>
    <s v="Win"/>
    <x v="4"/>
    <x v="118"/>
    <x v="25"/>
    <s v="Visakhapatnam"/>
  </r>
  <r>
    <n v="829729"/>
    <n v="2015"/>
    <x v="7"/>
    <d v="2015-04-17T00:00:00"/>
    <s v="Mumbai Indians"/>
    <s v="Chennai Super Kings"/>
    <m/>
    <s v="Mumbai Indians"/>
    <x v="1"/>
    <s v="Win"/>
    <x v="1"/>
    <x v="23"/>
    <x v="4"/>
    <s v="Mumbai"/>
  </r>
  <r>
    <n v="829731"/>
    <n v="2015"/>
    <x v="7"/>
    <d v="2015-04-18T00:00:00"/>
    <s v="Sunrisers Hyderabad"/>
    <s v="Delhi Daredevils"/>
    <m/>
    <s v="Delhi Daredevils"/>
    <x v="1"/>
    <s v="Win"/>
    <x v="2"/>
    <x v="53"/>
    <x v="25"/>
    <s v="Visakhapatnam"/>
  </r>
  <r>
    <n v="829733"/>
    <n v="2015"/>
    <x v="7"/>
    <d v="2015-04-18T00:00:00"/>
    <s v="Kings XI Punjab"/>
    <s v="Kolkata Knight Riders"/>
    <m/>
    <s v="Kolkata Knight Riders"/>
    <x v="0"/>
    <s v="Win"/>
    <x v="0"/>
    <x v="165"/>
    <x v="27"/>
    <s v="Pune"/>
  </r>
  <r>
    <n v="829735"/>
    <n v="2015"/>
    <x v="7"/>
    <d v="2015-04-19T00:00:00"/>
    <s v="Rajasthan Royals"/>
    <s v="Chennai Super Kings"/>
    <m/>
    <s v="Chennai Super Kings"/>
    <x v="1"/>
    <s v="Win"/>
    <x v="4"/>
    <x v="118"/>
    <x v="18"/>
    <s v="Ahmedabad"/>
  </r>
  <r>
    <n v="829737"/>
    <n v="2015"/>
    <x v="7"/>
    <d v="2015-04-19T00:00:00"/>
    <s v="Royal Challengers Bangalore"/>
    <s v="Mumbai Indians"/>
    <m/>
    <s v="Royal Challengers Bangalore"/>
    <x v="0"/>
    <s v="Win"/>
    <x v="7"/>
    <x v="62"/>
    <x v="0"/>
    <s v="Bangalore"/>
  </r>
  <r>
    <n v="829739"/>
    <n v="2015"/>
    <x v="7"/>
    <d v="2015-04-20T00:00:00"/>
    <s v="Delhi Daredevils"/>
    <s v="Kolkata Knight Riders"/>
    <m/>
    <s v="Kolkata Knight Riders"/>
    <x v="0"/>
    <s v="Win"/>
    <x v="0"/>
    <x v="136"/>
    <x v="2"/>
    <s v="Delhi"/>
  </r>
  <r>
    <n v="829741"/>
    <n v="2015"/>
    <x v="7"/>
    <d v="2015-04-21T00:00:00"/>
    <s v="Rajasthan Royals"/>
    <s v="Kings XI Punjab"/>
    <m/>
    <s v="Kings XI Punjab"/>
    <x v="0"/>
    <s v="tie"/>
    <x v="8"/>
    <x v="16"/>
    <x v="18"/>
    <s v="Ahmedabad"/>
  </r>
  <r>
    <n v="829743"/>
    <n v="2015"/>
    <x v="7"/>
    <d v="2015-04-22T00:00:00"/>
    <s v="Sunrisers Hyderabad"/>
    <s v="Kolkata Knight Riders"/>
    <m/>
    <s v="Kolkata Knight Riders"/>
    <x v="0"/>
    <s v="Win"/>
    <x v="11"/>
    <x v="79"/>
    <x v="25"/>
    <s v="Visakhapatnam"/>
  </r>
  <r>
    <n v="829745"/>
    <n v="2015"/>
    <x v="7"/>
    <d v="2015-04-22T00:00:00"/>
    <s v="Royal Challengers Bangalore"/>
    <s v="Chennai Super Kings"/>
    <m/>
    <s v="Royal Challengers Bangalore"/>
    <x v="0"/>
    <s v="Win"/>
    <x v="1"/>
    <x v="38"/>
    <x v="0"/>
    <s v="Bangalore"/>
  </r>
  <r>
    <n v="829747"/>
    <n v="2015"/>
    <x v="7"/>
    <d v="2015-04-23T00:00:00"/>
    <s v="Delhi Daredevils"/>
    <s v="Mumbai Indians"/>
    <m/>
    <s v="Mumbai Indians"/>
    <x v="0"/>
    <s v="Win"/>
    <x v="2"/>
    <x v="166"/>
    <x v="2"/>
    <s v="Delhi"/>
  </r>
  <r>
    <n v="829749"/>
    <n v="2015"/>
    <x v="7"/>
    <d v="2015-04-24T00:00:00"/>
    <s v="Rajasthan Royals"/>
    <s v="Royal Challengers Bangalore"/>
    <m/>
    <s v="Royal Challengers Bangalore"/>
    <x v="0"/>
    <s v="Win"/>
    <x v="3"/>
    <x v="167"/>
    <x v="18"/>
    <s v="Ahmedabad"/>
  </r>
  <r>
    <n v="829753"/>
    <n v="2015"/>
    <x v="7"/>
    <d v="2015-04-25T00:00:00"/>
    <s v="Chennai Super Kings"/>
    <s v="Kings XI Punjab"/>
    <m/>
    <s v="Chennai Super Kings"/>
    <x v="1"/>
    <s v="Win"/>
    <x v="1"/>
    <x v="0"/>
    <x v="7"/>
    <s v="Chennai"/>
  </r>
  <r>
    <n v="829751"/>
    <n v="2015"/>
    <x v="7"/>
    <d v="2015-04-25T00:00:00"/>
    <s v="Mumbai Indians"/>
    <s v="Sunrisers Hyderabad"/>
    <m/>
    <s v="Mumbai Indians"/>
    <x v="1"/>
    <s v="Win"/>
    <x v="7"/>
    <x v="80"/>
    <x v="4"/>
    <s v="Mumbai"/>
  </r>
  <r>
    <n v="829757"/>
    <n v="2015"/>
    <x v="7"/>
    <d v="2015-04-26T00:00:00"/>
    <s v="Delhi Daredevils"/>
    <s v="Royal Challengers Bangalore"/>
    <m/>
    <s v="Royal Challengers Bangalore"/>
    <x v="0"/>
    <s v="Win"/>
    <x v="3"/>
    <x v="168"/>
    <x v="2"/>
    <s v="Delhi"/>
  </r>
  <r>
    <n v="829759"/>
    <n v="2015"/>
    <x v="7"/>
    <d v="2015-04-27T00:00:00"/>
    <s v="Kings XI Punjab"/>
    <s v="Sunrisers Hyderabad"/>
    <m/>
    <s v="Kings XI Punjab"/>
    <x v="0"/>
    <s v="Win"/>
    <x v="11"/>
    <x v="169"/>
    <x v="1"/>
    <s v="Chandigarh"/>
  </r>
  <r>
    <n v="829765"/>
    <n v="2015"/>
    <x v="7"/>
    <d v="2015-04-28T00:00:00"/>
    <s v="Chennai Super Kings"/>
    <s v="Kolkata Knight Riders"/>
    <m/>
    <s v="Kolkata Knight Riders"/>
    <x v="0"/>
    <s v="Win"/>
    <x v="1"/>
    <x v="31"/>
    <x v="7"/>
    <s v="Chennai"/>
  </r>
  <r>
    <n v="829763"/>
    <n v="2015"/>
    <x v="7"/>
    <d v="2015-04-29T00:00:00"/>
    <s v="Royal Challengers Bangalore"/>
    <s v="Rajasthan Royals"/>
    <m/>
    <s v="Rajasthan Royals"/>
    <x v="0"/>
    <s v="no result"/>
    <x v="8"/>
    <x v="114"/>
    <x v="0"/>
    <s v="Bangalore"/>
  </r>
  <r>
    <n v="829723"/>
    <n v="2015"/>
    <x v="7"/>
    <d v="2015-04-30T00:00:00"/>
    <s v="Kolkata Knight Riders"/>
    <s v="Chennai Super Kings"/>
    <m/>
    <s v="Kolkata Knight Riders"/>
    <x v="0"/>
    <s v="Win"/>
    <x v="0"/>
    <x v="165"/>
    <x v="3"/>
    <s v="Kolkata"/>
  </r>
  <r>
    <n v="829767"/>
    <n v="2015"/>
    <x v="7"/>
    <d v="2015-05-01T00:00:00"/>
    <s v="Delhi Daredevils"/>
    <s v="Kings XI Punjab"/>
    <m/>
    <s v="Delhi Daredevils"/>
    <x v="0"/>
    <s v="Win"/>
    <x v="2"/>
    <x v="170"/>
    <x v="2"/>
    <s v="Delhi"/>
  </r>
  <r>
    <n v="829769"/>
    <n v="2015"/>
    <x v="7"/>
    <d v="2015-05-01T00:00:00"/>
    <s v="Mumbai Indians"/>
    <s v="Rajasthan Royals"/>
    <m/>
    <s v="Rajasthan Royals"/>
    <x v="0"/>
    <s v="Win"/>
    <x v="7"/>
    <x v="83"/>
    <x v="4"/>
    <s v="Mumbai"/>
  </r>
  <r>
    <n v="829773"/>
    <n v="2015"/>
    <x v="7"/>
    <d v="2015-05-02T00:00:00"/>
    <s v="Sunrisers Hyderabad"/>
    <s v="Chennai Super Kings"/>
    <m/>
    <s v="Chennai Super Kings"/>
    <x v="0"/>
    <s v="Win"/>
    <x v="11"/>
    <x v="79"/>
    <x v="6"/>
    <s v="Hyderabad"/>
  </r>
  <r>
    <n v="829771"/>
    <n v="2015"/>
    <x v="7"/>
    <d v="2015-05-02T00:00:00"/>
    <s v="Royal Challengers Bangalore"/>
    <s v="Kolkata Knight Riders"/>
    <m/>
    <s v="Royal Challengers Bangalore"/>
    <x v="0"/>
    <s v="Win"/>
    <x v="3"/>
    <x v="131"/>
    <x v="0"/>
    <s v="Bangalore"/>
  </r>
  <r>
    <n v="829775"/>
    <n v="2015"/>
    <x v="7"/>
    <d v="2015-05-03T00:00:00"/>
    <s v="Kings XI Punjab"/>
    <s v="Mumbai Indians"/>
    <m/>
    <s v="Mumbai Indians"/>
    <x v="1"/>
    <s v="Win"/>
    <x v="7"/>
    <x v="161"/>
    <x v="1"/>
    <s v="Chandigarh"/>
  </r>
  <r>
    <n v="829777"/>
    <n v="2015"/>
    <x v="7"/>
    <d v="2015-05-03T00:00:00"/>
    <s v="Rajasthan Royals"/>
    <s v="Delhi Daredevils"/>
    <m/>
    <s v="Delhi Daredevils"/>
    <x v="0"/>
    <s v="Win"/>
    <x v="4"/>
    <x v="118"/>
    <x v="17"/>
    <s v="Mumbai"/>
  </r>
  <r>
    <n v="829781"/>
    <n v="2015"/>
    <x v="7"/>
    <d v="2015-05-04T00:00:00"/>
    <s v="Kolkata Knight Riders"/>
    <s v="Sunrisers Hyderabad"/>
    <m/>
    <s v="Sunrisers Hyderabad"/>
    <x v="0"/>
    <s v="Win"/>
    <x v="0"/>
    <x v="136"/>
    <x v="3"/>
    <s v="Kolkata"/>
  </r>
  <r>
    <n v="829779"/>
    <n v="2015"/>
    <x v="7"/>
    <d v="2015-05-04T00:00:00"/>
    <s v="Chennai Super Kings"/>
    <s v="Royal Challengers Bangalore"/>
    <m/>
    <s v="Chennai Super Kings"/>
    <x v="1"/>
    <s v="Win"/>
    <x v="1"/>
    <x v="38"/>
    <x v="7"/>
    <s v="Chennai"/>
  </r>
  <r>
    <n v="829783"/>
    <n v="2015"/>
    <x v="7"/>
    <d v="2015-05-05T00:00:00"/>
    <s v="Mumbai Indians"/>
    <s v="Delhi Daredevils"/>
    <m/>
    <s v="Delhi Daredevils"/>
    <x v="1"/>
    <s v="Win"/>
    <x v="7"/>
    <x v="62"/>
    <x v="4"/>
    <s v="Mumbai"/>
  </r>
  <r>
    <n v="829785"/>
    <n v="2015"/>
    <x v="7"/>
    <d v="2015-05-06T00:00:00"/>
    <s v="Royal Challengers Bangalore"/>
    <s v="Kings XI Punjab"/>
    <m/>
    <s v="Kings XI Punjab"/>
    <x v="0"/>
    <s v="Win"/>
    <x v="3"/>
    <x v="45"/>
    <x v="0"/>
    <s v="Bangalore"/>
  </r>
  <r>
    <n v="829761"/>
    <n v="2015"/>
    <x v="7"/>
    <d v="2015-05-07T00:00:00"/>
    <s v="Kolkata Knight Riders"/>
    <s v="Delhi Daredevils"/>
    <m/>
    <s v="Kolkata Knight Riders"/>
    <x v="1"/>
    <s v="Win"/>
    <x v="0"/>
    <x v="88"/>
    <x v="3"/>
    <s v="Kolkata"/>
  </r>
  <r>
    <n v="829787"/>
    <n v="2015"/>
    <x v="7"/>
    <d v="2015-05-07T00:00:00"/>
    <s v="Rajasthan Royals"/>
    <s v="Sunrisers Hyderabad"/>
    <m/>
    <s v="Rajasthan Royals"/>
    <x v="0"/>
    <s v="Win"/>
    <x v="11"/>
    <x v="171"/>
    <x v="17"/>
    <s v="Mumbai"/>
  </r>
  <r>
    <n v="829789"/>
    <n v="2015"/>
    <x v="7"/>
    <d v="2015-05-08T00:00:00"/>
    <s v="Chennai Super Kings"/>
    <s v="Mumbai Indians"/>
    <m/>
    <s v="Chennai Super Kings"/>
    <x v="1"/>
    <s v="Win"/>
    <x v="7"/>
    <x v="172"/>
    <x v="7"/>
    <s v="Chennai"/>
  </r>
  <r>
    <n v="829793"/>
    <n v="2015"/>
    <x v="7"/>
    <d v="2015-05-09T00:00:00"/>
    <s v="Delhi Daredevils"/>
    <s v="Sunrisers Hyderabad"/>
    <m/>
    <s v="Sunrisers Hyderabad"/>
    <x v="1"/>
    <s v="Win"/>
    <x v="11"/>
    <x v="173"/>
    <x v="28"/>
    <s v="Raipur"/>
  </r>
  <r>
    <n v="829791"/>
    <n v="2015"/>
    <x v="7"/>
    <d v="2015-05-09T00:00:00"/>
    <s v="Kolkata Knight Riders"/>
    <s v="Kings XI Punjab"/>
    <m/>
    <s v="Kings XI Punjab"/>
    <x v="1"/>
    <s v="Win"/>
    <x v="0"/>
    <x v="165"/>
    <x v="3"/>
    <s v="Kolkata"/>
  </r>
  <r>
    <n v="829797"/>
    <n v="2015"/>
    <x v="7"/>
    <d v="2015-05-10T00:00:00"/>
    <s v="Chennai Super Kings"/>
    <s v="Rajasthan Royals"/>
    <m/>
    <s v="Chennai Super Kings"/>
    <x v="1"/>
    <s v="Win"/>
    <x v="1"/>
    <x v="120"/>
    <x v="7"/>
    <s v="Chennai"/>
  </r>
  <r>
    <n v="829795"/>
    <n v="2015"/>
    <x v="7"/>
    <d v="2015-05-10T00:00:00"/>
    <s v="Mumbai Indians"/>
    <s v="Royal Challengers Bangalore"/>
    <m/>
    <s v="Royal Challengers Bangalore"/>
    <x v="1"/>
    <s v="Win"/>
    <x v="3"/>
    <x v="46"/>
    <x v="4"/>
    <s v="Mumbai"/>
  </r>
  <r>
    <n v="829799"/>
    <n v="2015"/>
    <x v="7"/>
    <d v="2015-05-11T00:00:00"/>
    <s v="Sunrisers Hyderabad"/>
    <s v="Kings XI Punjab"/>
    <m/>
    <s v="Sunrisers Hyderabad"/>
    <x v="1"/>
    <s v="Win"/>
    <x v="11"/>
    <x v="79"/>
    <x v="6"/>
    <s v="Hyderabad"/>
  </r>
  <r>
    <n v="829801"/>
    <n v="2015"/>
    <x v="7"/>
    <d v="2015-05-12T00:00:00"/>
    <s v="Delhi Daredevils"/>
    <s v="Chennai Super Kings"/>
    <m/>
    <s v="Chennai Super Kings"/>
    <x v="1"/>
    <s v="Win"/>
    <x v="2"/>
    <x v="174"/>
    <x v="28"/>
    <s v="Raipur"/>
  </r>
  <r>
    <n v="829803"/>
    <n v="2015"/>
    <x v="7"/>
    <d v="2015-05-13T00:00:00"/>
    <s v="Kings XI Punjab"/>
    <s v="Royal Challengers Bangalore"/>
    <m/>
    <s v="Royal Challengers Bangalore"/>
    <x v="0"/>
    <s v="Win"/>
    <x v="5"/>
    <x v="160"/>
    <x v="1"/>
    <s v="Chandigarh"/>
  </r>
  <r>
    <n v="829805"/>
    <n v="2015"/>
    <x v="7"/>
    <d v="2015-05-14T00:00:00"/>
    <s v="Mumbai Indians"/>
    <s v="Kolkata Knight Riders"/>
    <m/>
    <s v="Kolkata Knight Riders"/>
    <x v="0"/>
    <s v="Win"/>
    <x v="7"/>
    <x v="172"/>
    <x v="4"/>
    <s v="Mumbai"/>
  </r>
  <r>
    <n v="829807"/>
    <n v="2015"/>
    <x v="7"/>
    <d v="2015-05-15T00:00:00"/>
    <s v="Sunrisers Hyderabad"/>
    <s v="Royal Challengers Bangalore"/>
    <m/>
    <s v="Sunrisers Hyderabad"/>
    <x v="1"/>
    <s v="Win"/>
    <x v="3"/>
    <x v="104"/>
    <x v="6"/>
    <s v="Hyderabad"/>
  </r>
  <r>
    <n v="829809"/>
    <n v="2015"/>
    <x v="7"/>
    <d v="2015-05-16T00:00:00"/>
    <s v="Kings XI Punjab"/>
    <s v="Chennai Super Kings"/>
    <m/>
    <s v="Kings XI Punjab"/>
    <x v="1"/>
    <s v="Win"/>
    <x v="1"/>
    <x v="132"/>
    <x v="1"/>
    <s v="Chandigarh"/>
  </r>
  <r>
    <n v="829811"/>
    <n v="2015"/>
    <x v="7"/>
    <d v="2015-05-16T00:00:00"/>
    <s v="Rajasthan Royals"/>
    <s v="Kolkata Knight Riders"/>
    <m/>
    <s v="Rajasthan Royals"/>
    <x v="1"/>
    <s v="Win"/>
    <x v="4"/>
    <x v="5"/>
    <x v="17"/>
    <s v="Mumbai"/>
  </r>
  <r>
    <n v="829815"/>
    <n v="2015"/>
    <x v="7"/>
    <d v="2015-05-17T00:00:00"/>
    <s v="Sunrisers Hyderabad"/>
    <s v="Mumbai Indians"/>
    <m/>
    <s v="Sunrisers Hyderabad"/>
    <x v="1"/>
    <s v="Win"/>
    <x v="7"/>
    <x v="175"/>
    <x v="6"/>
    <s v="Hyderabad"/>
  </r>
  <r>
    <n v="829813"/>
    <n v="2015"/>
    <x v="7"/>
    <d v="2015-05-17T00:00:00"/>
    <s v="Royal Challengers Bangalore"/>
    <s v="Delhi Daredevils"/>
    <m/>
    <s v="Royal Challengers Bangalore"/>
    <x v="0"/>
    <s v="no result"/>
    <x v="8"/>
    <x v="114"/>
    <x v="0"/>
    <s v="Bangalore"/>
  </r>
  <r>
    <n v="829817"/>
    <n v="2015"/>
    <x v="7"/>
    <d v="2015-05-19T00:00:00"/>
    <s v="Chennai Super Kings"/>
    <s v="Mumbai Indians"/>
    <m/>
    <s v="Mumbai Indians"/>
    <x v="1"/>
    <s v="Win"/>
    <x v="7"/>
    <x v="91"/>
    <x v="4"/>
    <s v="Mumbai"/>
  </r>
  <r>
    <n v="829819"/>
    <n v="2015"/>
    <x v="7"/>
    <d v="2015-05-20T00:00:00"/>
    <s v="Royal Challengers Bangalore"/>
    <s v="Rajasthan Royals"/>
    <m/>
    <s v="Royal Challengers Bangalore"/>
    <x v="1"/>
    <s v="Win"/>
    <x v="3"/>
    <x v="46"/>
    <x v="27"/>
    <s v="Pune"/>
  </r>
  <r>
    <n v="829821"/>
    <n v="2015"/>
    <x v="7"/>
    <d v="2015-05-22T00:00:00"/>
    <s v="Chennai Super Kings"/>
    <s v="Royal Challengers Bangalore"/>
    <m/>
    <s v="Chennai Super Kings"/>
    <x v="0"/>
    <s v="Win"/>
    <x v="1"/>
    <x v="23"/>
    <x v="29"/>
    <s v="Ranchi"/>
  </r>
  <r>
    <n v="829823"/>
    <n v="2015"/>
    <x v="7"/>
    <d v="2015-05-24T00:00:00"/>
    <s v="Mumbai Indians"/>
    <s v="Chennai Super Kings"/>
    <m/>
    <s v="Chennai Super Kings"/>
    <x v="0"/>
    <s v="Win"/>
    <x v="7"/>
    <x v="57"/>
    <x v="3"/>
    <s v="Kolkata"/>
  </r>
  <r>
    <n v="980901"/>
    <n v="2016"/>
    <x v="8"/>
    <d v="2016-04-09T00:00:00"/>
    <s v="Mumbai Indians"/>
    <s v="Rising Pune Supergiants"/>
    <m/>
    <s v="Mumbai Indians"/>
    <x v="1"/>
    <s v="Win"/>
    <x v="12"/>
    <x v="118"/>
    <x v="4"/>
    <s v="Mumbai"/>
  </r>
  <r>
    <n v="980903"/>
    <n v="2016"/>
    <x v="8"/>
    <d v="2016-04-10T00:00:00"/>
    <s v="Kolkata Knight Riders"/>
    <s v="Delhi Daredevils"/>
    <m/>
    <s v="Kolkata Knight Riders"/>
    <x v="0"/>
    <s v="Win"/>
    <x v="0"/>
    <x v="165"/>
    <x v="3"/>
    <s v="Kolkata"/>
  </r>
  <r>
    <n v="980905"/>
    <n v="2016"/>
    <x v="8"/>
    <d v="2016-04-11T00:00:00"/>
    <s v="Kings XI Punjab"/>
    <s v="Gujarat Lions"/>
    <m/>
    <s v="Gujarat Lions"/>
    <x v="0"/>
    <s v="Win"/>
    <x v="13"/>
    <x v="140"/>
    <x v="33"/>
    <s v="Chandigarh"/>
  </r>
  <r>
    <n v="980907"/>
    <n v="2016"/>
    <x v="8"/>
    <d v="2016-04-12T00:00:00"/>
    <s v="Royal Challengers Bangalore"/>
    <s v="Sunrisers Hyderabad"/>
    <m/>
    <s v="Sunrisers Hyderabad"/>
    <x v="0"/>
    <s v="Win"/>
    <x v="3"/>
    <x v="46"/>
    <x v="0"/>
    <s v="Bangalore"/>
  </r>
  <r>
    <n v="980909"/>
    <n v="2016"/>
    <x v="8"/>
    <d v="2016-04-13T00:00:00"/>
    <s v="Kolkata Knight Riders"/>
    <s v="Mumbai Indians"/>
    <m/>
    <s v="Mumbai Indians"/>
    <x v="0"/>
    <s v="Win"/>
    <x v="7"/>
    <x v="57"/>
    <x v="3"/>
    <s v="Kolkata"/>
  </r>
  <r>
    <n v="980911"/>
    <n v="2016"/>
    <x v="8"/>
    <d v="2016-04-14T00:00:00"/>
    <s v="Gujarat Lions"/>
    <s v="Rising Pune Supergiants"/>
    <m/>
    <s v="Rising Pune Supergiants"/>
    <x v="1"/>
    <s v="Win"/>
    <x v="13"/>
    <x v="140"/>
    <x v="34"/>
    <s v="Rajkot"/>
  </r>
  <r>
    <n v="980913"/>
    <n v="2016"/>
    <x v="8"/>
    <d v="2016-04-15T00:00:00"/>
    <s v="Delhi Daredevils"/>
    <s v="Kings XI Punjab"/>
    <m/>
    <s v="Delhi Daredevils"/>
    <x v="0"/>
    <s v="Win"/>
    <x v="2"/>
    <x v="27"/>
    <x v="2"/>
    <s v="Delhi"/>
  </r>
  <r>
    <n v="980915"/>
    <n v="2016"/>
    <x v="8"/>
    <d v="2016-04-16T00:00:00"/>
    <s v="Sunrisers Hyderabad"/>
    <s v="Kolkata Knight Riders"/>
    <m/>
    <s v="Sunrisers Hyderabad"/>
    <x v="1"/>
    <s v="Win"/>
    <x v="0"/>
    <x v="56"/>
    <x v="6"/>
    <s v="Hyderabad"/>
  </r>
  <r>
    <n v="980917"/>
    <n v="2016"/>
    <x v="8"/>
    <d v="2016-04-16T00:00:00"/>
    <s v="Mumbai Indians"/>
    <s v="Gujarat Lions"/>
    <m/>
    <s v="Gujarat Lions"/>
    <x v="0"/>
    <s v="Win"/>
    <x v="13"/>
    <x v="140"/>
    <x v="4"/>
    <s v="Mumbai"/>
  </r>
  <r>
    <n v="980919"/>
    <n v="2016"/>
    <x v="8"/>
    <d v="2016-04-17T00:00:00"/>
    <s v="Kings XI Punjab"/>
    <s v="Rising Pune Supergiants"/>
    <m/>
    <s v="Rising Pune Supergiants"/>
    <x v="1"/>
    <s v="Win"/>
    <x v="5"/>
    <x v="138"/>
    <x v="33"/>
    <s v="Chandigarh"/>
  </r>
  <r>
    <n v="980921"/>
    <n v="2016"/>
    <x v="8"/>
    <d v="2016-04-17T00:00:00"/>
    <s v="Royal Challengers Bangalore"/>
    <s v="Delhi Daredevils"/>
    <m/>
    <s v="Delhi Daredevils"/>
    <x v="0"/>
    <s v="Win"/>
    <x v="2"/>
    <x v="176"/>
    <x v="0"/>
    <s v="Bangalore"/>
  </r>
  <r>
    <n v="980923"/>
    <n v="2016"/>
    <x v="8"/>
    <d v="2016-04-18T00:00:00"/>
    <s v="Sunrisers Hyderabad"/>
    <s v="Mumbai Indians"/>
    <m/>
    <s v="Sunrisers Hyderabad"/>
    <x v="0"/>
    <s v="Win"/>
    <x v="11"/>
    <x v="79"/>
    <x v="6"/>
    <s v="Hyderabad"/>
  </r>
  <r>
    <n v="980925"/>
    <n v="2016"/>
    <x v="8"/>
    <d v="2016-04-19T00:00:00"/>
    <s v="Kings XI Punjab"/>
    <s v="Kolkata Knight Riders"/>
    <m/>
    <s v="Kolkata Knight Riders"/>
    <x v="0"/>
    <s v="Win"/>
    <x v="0"/>
    <x v="75"/>
    <x v="33"/>
    <s v="Chandigarh"/>
  </r>
  <r>
    <n v="980927"/>
    <n v="2016"/>
    <x v="8"/>
    <d v="2016-04-20T00:00:00"/>
    <s v="Mumbai Indians"/>
    <s v="Royal Challengers Bangalore"/>
    <m/>
    <s v="Mumbai Indians"/>
    <x v="0"/>
    <s v="Win"/>
    <x v="7"/>
    <x v="57"/>
    <x v="4"/>
    <s v="Mumbai"/>
  </r>
  <r>
    <n v="980929"/>
    <n v="2016"/>
    <x v="8"/>
    <d v="2016-04-21T00:00:00"/>
    <s v="Gujarat Lions"/>
    <s v="Sunrisers Hyderabad"/>
    <m/>
    <s v="Sunrisers Hyderabad"/>
    <x v="0"/>
    <s v="Win"/>
    <x v="11"/>
    <x v="157"/>
    <x v="34"/>
    <s v="Rajkot"/>
  </r>
  <r>
    <n v="980931"/>
    <n v="2016"/>
    <x v="8"/>
    <d v="2016-04-22T00:00:00"/>
    <s v="Rising Pune Supergiants"/>
    <s v="Royal Challengers Bangalore"/>
    <m/>
    <s v="Rising Pune Supergiants"/>
    <x v="0"/>
    <s v="Win"/>
    <x v="3"/>
    <x v="46"/>
    <x v="27"/>
    <s v="Pune"/>
  </r>
  <r>
    <n v="980935"/>
    <n v="2016"/>
    <x v="8"/>
    <d v="2016-04-23T00:00:00"/>
    <s v="Sunrisers Hyderabad"/>
    <s v="Kings XI Punjab"/>
    <m/>
    <s v="Sunrisers Hyderabad"/>
    <x v="0"/>
    <s v="Win"/>
    <x v="11"/>
    <x v="177"/>
    <x v="6"/>
    <s v="Hyderabad"/>
  </r>
  <r>
    <n v="980933"/>
    <n v="2016"/>
    <x v="8"/>
    <d v="2016-04-23T00:00:00"/>
    <s v="Delhi Daredevils"/>
    <s v="Mumbai Indians"/>
    <m/>
    <s v="Mumbai Indians"/>
    <x v="0"/>
    <s v="Win"/>
    <x v="2"/>
    <x v="144"/>
    <x v="2"/>
    <s v="Delhi"/>
  </r>
  <r>
    <n v="980937"/>
    <n v="2016"/>
    <x v="8"/>
    <d v="2016-04-24T00:00:00"/>
    <s v="Gujarat Lions"/>
    <s v="Royal Challengers Bangalore"/>
    <m/>
    <s v="Royal Challengers Bangalore"/>
    <x v="1"/>
    <s v="Win"/>
    <x v="13"/>
    <x v="104"/>
    <x v="34"/>
    <s v="Rajkot"/>
  </r>
  <r>
    <n v="980939"/>
    <n v="2016"/>
    <x v="8"/>
    <d v="2016-04-24T00:00:00"/>
    <s v="Rising Pune Supergiants"/>
    <s v="Kolkata Knight Riders"/>
    <m/>
    <s v="Kolkata Knight Riders"/>
    <x v="0"/>
    <s v="Win"/>
    <x v="0"/>
    <x v="178"/>
    <x v="27"/>
    <s v="Pune"/>
  </r>
  <r>
    <n v="980941"/>
    <n v="2016"/>
    <x v="8"/>
    <d v="2016-04-25T00:00:00"/>
    <s v="Kings XI Punjab"/>
    <s v="Mumbai Indians"/>
    <m/>
    <s v="Kings XI Punjab"/>
    <x v="0"/>
    <s v="Win"/>
    <x v="7"/>
    <x v="148"/>
    <x v="33"/>
    <s v="Chandigarh"/>
  </r>
  <r>
    <n v="980943"/>
    <n v="2016"/>
    <x v="8"/>
    <d v="2016-04-26T00:00:00"/>
    <s v="Sunrisers Hyderabad"/>
    <s v="Rising Pune Supergiants"/>
    <m/>
    <s v="Rising Pune Supergiants"/>
    <x v="0"/>
    <s v="Win"/>
    <x v="12"/>
    <x v="179"/>
    <x v="6"/>
    <s v="Hyderabad"/>
  </r>
  <r>
    <n v="980945"/>
    <n v="2016"/>
    <x v="8"/>
    <d v="2016-04-27T00:00:00"/>
    <s v="Delhi Daredevils"/>
    <s v="Gujarat Lions"/>
    <m/>
    <s v="Delhi Daredevils"/>
    <x v="0"/>
    <s v="Win"/>
    <x v="13"/>
    <x v="180"/>
    <x v="2"/>
    <s v="Delhi"/>
  </r>
  <r>
    <n v="980947"/>
    <n v="2016"/>
    <x v="8"/>
    <d v="2016-04-28T00:00:00"/>
    <s v="Mumbai Indians"/>
    <s v="Kolkata Knight Riders"/>
    <m/>
    <s v="Mumbai Indians"/>
    <x v="0"/>
    <s v="Win"/>
    <x v="7"/>
    <x v="57"/>
    <x v="4"/>
    <s v="Mumbai"/>
  </r>
  <r>
    <n v="980949"/>
    <n v="2016"/>
    <x v="8"/>
    <d v="2016-04-29T00:00:00"/>
    <s v="Rising Pune Supergiants"/>
    <s v="Gujarat Lions"/>
    <m/>
    <s v="Gujarat Lions"/>
    <x v="0"/>
    <s v="Win"/>
    <x v="13"/>
    <x v="60"/>
    <x v="27"/>
    <s v="Pune"/>
  </r>
  <r>
    <n v="980953"/>
    <n v="2016"/>
    <x v="8"/>
    <d v="2016-04-30T00:00:00"/>
    <s v="Sunrisers Hyderabad"/>
    <s v="Royal Challengers Bangalore"/>
    <m/>
    <s v="Royal Challengers Bangalore"/>
    <x v="0"/>
    <s v="Win"/>
    <x v="11"/>
    <x v="79"/>
    <x v="6"/>
    <s v="Hyderabad"/>
  </r>
  <r>
    <n v="980951"/>
    <n v="2016"/>
    <x v="8"/>
    <d v="2016-04-30T00:00:00"/>
    <s v="Delhi Daredevils"/>
    <s v="Kolkata Knight Riders"/>
    <m/>
    <s v="Kolkata Knight Riders"/>
    <x v="0"/>
    <s v="Win"/>
    <x v="2"/>
    <x v="181"/>
    <x v="2"/>
    <s v="Delhi"/>
  </r>
  <r>
    <n v="980955"/>
    <n v="2016"/>
    <x v="8"/>
    <d v="2016-05-01T00:00:00"/>
    <s v="Gujarat Lions"/>
    <s v="Kings XI Punjab"/>
    <m/>
    <s v="Gujarat Lions"/>
    <x v="0"/>
    <s v="Win"/>
    <x v="5"/>
    <x v="160"/>
    <x v="34"/>
    <s v="Rajkot"/>
  </r>
  <r>
    <n v="980957"/>
    <n v="2016"/>
    <x v="8"/>
    <d v="2016-05-01T00:00:00"/>
    <s v="Rising Pune Supergiants"/>
    <s v="Mumbai Indians"/>
    <m/>
    <s v="Mumbai Indians"/>
    <x v="0"/>
    <s v="Win"/>
    <x v="7"/>
    <x v="57"/>
    <x v="27"/>
    <s v="Pune"/>
  </r>
  <r>
    <n v="980959"/>
    <n v="2016"/>
    <x v="8"/>
    <d v="2016-05-02T00:00:00"/>
    <s v="Royal Challengers Bangalore"/>
    <s v="Kolkata Knight Riders"/>
    <m/>
    <s v="Kolkata Knight Riders"/>
    <x v="0"/>
    <s v="Win"/>
    <x v="0"/>
    <x v="165"/>
    <x v="0"/>
    <s v="Bangalore"/>
  </r>
  <r>
    <n v="980961"/>
    <n v="2016"/>
    <x v="8"/>
    <d v="2016-05-03T00:00:00"/>
    <s v="Gujarat Lions"/>
    <s v="Delhi Daredevils"/>
    <m/>
    <s v="Delhi Daredevils"/>
    <x v="0"/>
    <s v="Win"/>
    <x v="2"/>
    <x v="182"/>
    <x v="34"/>
    <s v="Rajkot"/>
  </r>
  <r>
    <n v="980963"/>
    <n v="2016"/>
    <x v="8"/>
    <d v="2016-05-04T00:00:00"/>
    <s v="Kolkata Knight Riders"/>
    <s v="Kings XI Punjab"/>
    <m/>
    <s v="Kings XI Punjab"/>
    <x v="0"/>
    <s v="Win"/>
    <x v="0"/>
    <x v="165"/>
    <x v="3"/>
    <s v="Kolkata"/>
  </r>
  <r>
    <n v="980965"/>
    <n v="2016"/>
    <x v="8"/>
    <d v="2016-05-05T00:00:00"/>
    <s v="Delhi Daredevils"/>
    <s v="Rising Pune Supergiants"/>
    <m/>
    <s v="Rising Pune Supergiants"/>
    <x v="0"/>
    <s v="Win"/>
    <x v="12"/>
    <x v="118"/>
    <x v="2"/>
    <s v="Delhi"/>
  </r>
  <r>
    <n v="980967"/>
    <n v="2016"/>
    <x v="8"/>
    <d v="2016-05-06T00:00:00"/>
    <s v="Sunrisers Hyderabad"/>
    <s v="Gujarat Lions"/>
    <m/>
    <s v="Sunrisers Hyderabad"/>
    <x v="0"/>
    <s v="Win"/>
    <x v="11"/>
    <x v="157"/>
    <x v="6"/>
    <s v="Hyderabad"/>
  </r>
  <r>
    <n v="980971"/>
    <n v="2016"/>
    <x v="8"/>
    <d v="2016-05-07T00:00:00"/>
    <s v="Kings XI Punjab"/>
    <s v="Delhi Daredevils"/>
    <m/>
    <s v="Delhi Daredevils"/>
    <x v="0"/>
    <s v="Win"/>
    <x v="5"/>
    <x v="183"/>
    <x v="33"/>
    <s v="Chandigarh"/>
  </r>
  <r>
    <n v="980969"/>
    <n v="2016"/>
    <x v="8"/>
    <d v="2016-05-07T00:00:00"/>
    <s v="Royal Challengers Bangalore"/>
    <s v="Rising Pune Supergiants"/>
    <m/>
    <s v="Royal Challengers Bangalore"/>
    <x v="0"/>
    <s v="Win"/>
    <x v="3"/>
    <x v="104"/>
    <x v="0"/>
    <s v="Bangalore"/>
  </r>
  <r>
    <n v="980973"/>
    <n v="2016"/>
    <x v="8"/>
    <d v="2016-05-08T00:00:00"/>
    <s v="Mumbai Indians"/>
    <s v="Sunrisers Hyderabad"/>
    <m/>
    <s v="Mumbai Indians"/>
    <x v="0"/>
    <s v="Win"/>
    <x v="11"/>
    <x v="23"/>
    <x v="25"/>
    <s v="Visakhapatnam"/>
  </r>
  <r>
    <n v="980975"/>
    <n v="2016"/>
    <x v="8"/>
    <d v="2016-05-08T00:00:00"/>
    <s v="Kolkata Knight Riders"/>
    <s v="Gujarat Lions"/>
    <m/>
    <s v="Gujarat Lions"/>
    <x v="0"/>
    <s v="Win"/>
    <x v="13"/>
    <x v="18"/>
    <x v="3"/>
    <s v="Kolkata"/>
  </r>
  <r>
    <n v="980977"/>
    <n v="2016"/>
    <x v="8"/>
    <d v="2016-05-09T00:00:00"/>
    <s v="Kings XI Punjab"/>
    <s v="Royal Challengers Bangalore"/>
    <m/>
    <s v="Kings XI Punjab"/>
    <x v="0"/>
    <s v="Win"/>
    <x v="3"/>
    <x v="5"/>
    <x v="33"/>
    <s v="Chandigarh"/>
  </r>
  <r>
    <n v="980979"/>
    <n v="2016"/>
    <x v="8"/>
    <d v="2016-05-10T00:00:00"/>
    <s v="Rising Pune Supergiants"/>
    <s v="Sunrisers Hyderabad"/>
    <m/>
    <s v="Sunrisers Hyderabad"/>
    <x v="1"/>
    <s v="Win"/>
    <x v="11"/>
    <x v="184"/>
    <x v="25"/>
    <s v="Visakhapatnam"/>
  </r>
  <r>
    <n v="980981"/>
    <n v="2016"/>
    <x v="8"/>
    <d v="2016-05-11T00:00:00"/>
    <s v="Royal Challengers Bangalore"/>
    <s v="Mumbai Indians"/>
    <m/>
    <s v="Mumbai Indians"/>
    <x v="0"/>
    <s v="Win"/>
    <x v="7"/>
    <x v="185"/>
    <x v="0"/>
    <s v="Bangalore"/>
  </r>
  <r>
    <n v="980983"/>
    <n v="2016"/>
    <x v="8"/>
    <d v="2016-05-12T00:00:00"/>
    <s v="Sunrisers Hyderabad"/>
    <s v="Delhi Daredevils"/>
    <m/>
    <s v="Delhi Daredevils"/>
    <x v="0"/>
    <s v="Win"/>
    <x v="2"/>
    <x v="180"/>
    <x v="6"/>
    <s v="Hyderabad"/>
  </r>
  <r>
    <n v="980985"/>
    <n v="2016"/>
    <x v="8"/>
    <d v="2016-05-13T00:00:00"/>
    <s v="Mumbai Indians"/>
    <s v="Kings XI Punjab"/>
    <m/>
    <s v="Mumbai Indians"/>
    <x v="1"/>
    <s v="Win"/>
    <x v="5"/>
    <x v="183"/>
    <x v="25"/>
    <s v="Visakhapatnam"/>
  </r>
  <r>
    <n v="980987"/>
    <n v="2016"/>
    <x v="8"/>
    <d v="2016-05-14T00:00:00"/>
    <s v="Royal Challengers Bangalore"/>
    <s v="Gujarat Lions"/>
    <m/>
    <s v="Gujarat Lions"/>
    <x v="0"/>
    <s v="Win"/>
    <x v="3"/>
    <x v="46"/>
    <x v="0"/>
    <s v="Bangalore"/>
  </r>
  <r>
    <n v="980989"/>
    <n v="2016"/>
    <x v="8"/>
    <d v="2016-05-14T00:00:00"/>
    <s v="Kolkata Knight Riders"/>
    <s v="Rising Pune Supergiants"/>
    <m/>
    <s v="Rising Pune Supergiants"/>
    <x v="1"/>
    <s v="Win"/>
    <x v="0"/>
    <x v="8"/>
    <x v="3"/>
    <s v="Kolkata"/>
  </r>
  <r>
    <n v="980991"/>
    <n v="2016"/>
    <x v="8"/>
    <d v="2016-05-15T00:00:00"/>
    <s v="Kings XI Punjab"/>
    <s v="Sunrisers Hyderabad"/>
    <m/>
    <s v="Kings XI Punjab"/>
    <x v="1"/>
    <s v="Win"/>
    <x v="11"/>
    <x v="186"/>
    <x v="33"/>
    <s v="Chandigarh"/>
  </r>
  <r>
    <n v="980993"/>
    <n v="2016"/>
    <x v="8"/>
    <d v="2016-05-15T00:00:00"/>
    <s v="Mumbai Indians"/>
    <s v="Delhi Daredevils"/>
    <m/>
    <s v="Delhi Daredevils"/>
    <x v="0"/>
    <s v="Win"/>
    <x v="7"/>
    <x v="185"/>
    <x v="25"/>
    <s v="Visakhapatnam"/>
  </r>
  <r>
    <n v="980995"/>
    <n v="2016"/>
    <x v="8"/>
    <d v="2016-05-16T00:00:00"/>
    <s v="Kolkata Knight Riders"/>
    <s v="Royal Challengers Bangalore"/>
    <m/>
    <s v="Royal Challengers Bangalore"/>
    <x v="0"/>
    <s v="Win"/>
    <x v="3"/>
    <x v="104"/>
    <x v="3"/>
    <s v="Kolkata"/>
  </r>
  <r>
    <n v="980997"/>
    <n v="2016"/>
    <x v="8"/>
    <d v="2016-05-17T00:00:00"/>
    <s v="Rising Pune Supergiants"/>
    <s v="Delhi Daredevils"/>
    <m/>
    <s v="Rising Pune Supergiants"/>
    <x v="0"/>
    <s v="Win"/>
    <x v="12"/>
    <x v="179"/>
    <x v="25"/>
    <s v="Visakhapatnam"/>
  </r>
  <r>
    <n v="980999"/>
    <n v="2016"/>
    <x v="8"/>
    <d v="2016-05-18T00:00:00"/>
    <s v="Royal Challengers Bangalore"/>
    <s v="Kings XI Punjab"/>
    <m/>
    <s v="Kings XI Punjab"/>
    <x v="0"/>
    <s v="Win"/>
    <x v="3"/>
    <x v="104"/>
    <x v="0"/>
    <s v="Bangalore"/>
  </r>
  <r>
    <n v="981001"/>
    <n v="2016"/>
    <x v="8"/>
    <d v="2016-05-19T00:00:00"/>
    <s v="Gujarat Lions"/>
    <s v="Kolkata Knight Riders"/>
    <m/>
    <s v="Gujarat Lions"/>
    <x v="0"/>
    <s v="Win"/>
    <x v="13"/>
    <x v="60"/>
    <x v="35"/>
    <s v="Kanpur"/>
  </r>
  <r>
    <n v="981003"/>
    <n v="2016"/>
    <x v="8"/>
    <d v="2016-05-20T00:00:00"/>
    <s v="Delhi Daredevils"/>
    <s v="Sunrisers Hyderabad"/>
    <m/>
    <s v="Delhi Daredevils"/>
    <x v="0"/>
    <s v="Win"/>
    <x v="2"/>
    <x v="158"/>
    <x v="28"/>
    <s v="Raipur"/>
  </r>
  <r>
    <n v="981007"/>
    <n v="2016"/>
    <x v="8"/>
    <d v="2016-05-21T00:00:00"/>
    <s v="Gujarat Lions"/>
    <s v="Mumbai Indians"/>
    <m/>
    <s v="Gujarat Lions"/>
    <x v="0"/>
    <s v="Win"/>
    <x v="13"/>
    <x v="38"/>
    <x v="35"/>
    <s v="Kanpur"/>
  </r>
  <r>
    <n v="981005"/>
    <n v="2016"/>
    <x v="8"/>
    <d v="2016-05-21T00:00:00"/>
    <s v="Rising Pune Supergiants"/>
    <s v="Kings XI Punjab"/>
    <m/>
    <s v="Kings XI Punjab"/>
    <x v="1"/>
    <s v="Win"/>
    <x v="12"/>
    <x v="13"/>
    <x v="25"/>
    <s v="Visakhapatnam"/>
  </r>
  <r>
    <n v="981009"/>
    <n v="2016"/>
    <x v="8"/>
    <d v="2016-05-22T00:00:00"/>
    <s v="Kolkata Knight Riders"/>
    <s v="Sunrisers Hyderabad"/>
    <m/>
    <s v="Sunrisers Hyderabad"/>
    <x v="0"/>
    <s v="Win"/>
    <x v="0"/>
    <x v="8"/>
    <x v="3"/>
    <s v="Kolkata"/>
  </r>
  <r>
    <n v="981011"/>
    <n v="2016"/>
    <x v="8"/>
    <d v="2016-05-22T00:00:00"/>
    <s v="Delhi Daredevils"/>
    <s v="Royal Challengers Bangalore"/>
    <m/>
    <s v="Royal Challengers Bangalore"/>
    <x v="0"/>
    <s v="Win"/>
    <x v="3"/>
    <x v="104"/>
    <x v="28"/>
    <s v="Raipur"/>
  </r>
  <r>
    <n v="981013"/>
    <n v="2016"/>
    <x v="8"/>
    <d v="2016-05-24T00:00:00"/>
    <s v="Gujarat Lions"/>
    <s v="Royal Challengers Bangalore"/>
    <m/>
    <s v="Royal Challengers Bangalore"/>
    <x v="0"/>
    <s v="Win"/>
    <x v="3"/>
    <x v="46"/>
    <x v="0"/>
    <s v="Bangalore"/>
  </r>
  <r>
    <n v="981015"/>
    <n v="2016"/>
    <x v="8"/>
    <d v="2016-05-25T00:00:00"/>
    <s v="Sunrisers Hyderabad"/>
    <s v="Kolkata Knight Riders"/>
    <m/>
    <s v="Kolkata Knight Riders"/>
    <x v="0"/>
    <s v="Win"/>
    <x v="11"/>
    <x v="173"/>
    <x v="2"/>
    <s v="Delhi"/>
  </r>
  <r>
    <n v="981017"/>
    <n v="2016"/>
    <x v="8"/>
    <d v="2016-05-27T00:00:00"/>
    <s v="Gujarat Lions"/>
    <s v="Sunrisers Hyderabad"/>
    <m/>
    <s v="Sunrisers Hyderabad"/>
    <x v="0"/>
    <s v="Win"/>
    <x v="11"/>
    <x v="79"/>
    <x v="2"/>
    <s v="Delhi"/>
  </r>
  <r>
    <n v="981019"/>
    <n v="2016"/>
    <x v="8"/>
    <d v="2016-05-29T00:00:00"/>
    <s v="Royal Challengers Bangalore"/>
    <s v="Sunrisers Hyderabad"/>
    <m/>
    <s v="Sunrisers Hyderabad"/>
    <x v="1"/>
    <s v="Win"/>
    <x v="11"/>
    <x v="187"/>
    <x v="0"/>
    <s v="Bangalore"/>
  </r>
  <r>
    <n v="1082591"/>
    <n v="2017"/>
    <x v="9"/>
    <d v="2017-04-05T00:00:00"/>
    <s v="Sunrisers Hyderabad"/>
    <s v="Royal Challengers Bangalore"/>
    <m/>
    <s v="Royal Challengers Bangalore"/>
    <x v="0"/>
    <s v="Win"/>
    <x v="11"/>
    <x v="52"/>
    <x v="6"/>
    <s v="Hyderabad"/>
  </r>
  <r>
    <n v="1082592"/>
    <n v="2017"/>
    <x v="9"/>
    <d v="2017-04-06T00:00:00"/>
    <s v="Rising Pune Supergiant"/>
    <s v="Mumbai Indians"/>
    <m/>
    <s v="Rising Pune Supergiant"/>
    <x v="0"/>
    <s v="Win"/>
    <x v="14"/>
    <x v="119"/>
    <x v="27"/>
    <s v="Pune"/>
  </r>
  <r>
    <n v="1082593"/>
    <n v="2017"/>
    <x v="9"/>
    <d v="2017-04-07T00:00:00"/>
    <s v="Gujarat Lions"/>
    <s v="Kolkata Knight Riders"/>
    <m/>
    <s v="Kolkata Knight Riders"/>
    <x v="0"/>
    <s v="Win"/>
    <x v="0"/>
    <x v="153"/>
    <x v="34"/>
    <s v="Rajkot"/>
  </r>
  <r>
    <n v="1082595"/>
    <n v="2017"/>
    <x v="9"/>
    <d v="2017-04-08T00:00:00"/>
    <s v="Royal Challengers Bangalore"/>
    <s v="Delhi Daredevils"/>
    <m/>
    <s v="Royal Challengers Bangalore"/>
    <x v="1"/>
    <s v="Win"/>
    <x v="3"/>
    <x v="77"/>
    <x v="36"/>
    <s v="Bengaluru"/>
  </r>
  <r>
    <n v="1082594"/>
    <n v="2017"/>
    <x v="9"/>
    <d v="2017-04-08T00:00:00"/>
    <s v="Kings XI Punjab"/>
    <s v="Rising Pune Supergiant"/>
    <m/>
    <s v="Kings XI Punjab"/>
    <x v="0"/>
    <s v="Win"/>
    <x v="5"/>
    <x v="152"/>
    <x v="24"/>
    <s v="Indore"/>
  </r>
  <r>
    <n v="1082596"/>
    <n v="2017"/>
    <x v="9"/>
    <d v="2017-04-09T00:00:00"/>
    <s v="Sunrisers Hyderabad"/>
    <s v="Gujarat Lions"/>
    <m/>
    <s v="Sunrisers Hyderabad"/>
    <x v="0"/>
    <s v="Win"/>
    <x v="11"/>
    <x v="188"/>
    <x v="6"/>
    <s v="Hyderabad"/>
  </r>
  <r>
    <n v="1082597"/>
    <n v="2017"/>
    <x v="9"/>
    <d v="2017-04-09T00:00:00"/>
    <s v="Mumbai Indians"/>
    <s v="Kolkata Knight Riders"/>
    <m/>
    <s v="Mumbai Indians"/>
    <x v="0"/>
    <s v="Win"/>
    <x v="7"/>
    <x v="189"/>
    <x v="4"/>
    <s v="Mumbai"/>
  </r>
  <r>
    <n v="1082598"/>
    <n v="2017"/>
    <x v="9"/>
    <d v="2017-04-10T00:00:00"/>
    <s v="Kings XI Punjab"/>
    <s v="Royal Challengers Bangalore"/>
    <m/>
    <s v="Royal Challengers Bangalore"/>
    <x v="1"/>
    <s v="Win"/>
    <x v="5"/>
    <x v="160"/>
    <x v="24"/>
    <s v="Indore"/>
  </r>
  <r>
    <n v="1082599"/>
    <n v="2017"/>
    <x v="9"/>
    <d v="2017-04-11T00:00:00"/>
    <s v="Rising Pune Supergiant"/>
    <s v="Delhi Daredevils"/>
    <m/>
    <s v="Rising Pune Supergiant"/>
    <x v="0"/>
    <s v="Win"/>
    <x v="2"/>
    <x v="144"/>
    <x v="27"/>
    <s v="Pune"/>
  </r>
  <r>
    <n v="1082600"/>
    <n v="2017"/>
    <x v="9"/>
    <d v="2017-04-12T00:00:00"/>
    <s v="Mumbai Indians"/>
    <s v="Sunrisers Hyderabad"/>
    <m/>
    <s v="Mumbai Indians"/>
    <x v="0"/>
    <s v="Win"/>
    <x v="7"/>
    <x v="190"/>
    <x v="4"/>
    <s v="Mumbai"/>
  </r>
  <r>
    <n v="1082601"/>
    <n v="2017"/>
    <x v="9"/>
    <d v="2017-04-13T00:00:00"/>
    <s v="Kolkata Knight Riders"/>
    <s v="Kings XI Punjab"/>
    <m/>
    <s v="Kolkata Knight Riders"/>
    <x v="0"/>
    <s v="Win"/>
    <x v="0"/>
    <x v="127"/>
    <x v="3"/>
    <s v="Kolkata"/>
  </r>
  <r>
    <n v="1082603"/>
    <n v="2017"/>
    <x v="9"/>
    <d v="2017-04-14T00:00:00"/>
    <s v="Gujarat Lions"/>
    <s v="Rising Pune Supergiant"/>
    <m/>
    <s v="Gujarat Lions"/>
    <x v="0"/>
    <s v="Win"/>
    <x v="13"/>
    <x v="191"/>
    <x v="34"/>
    <s v="Rajkot"/>
  </r>
  <r>
    <n v="1082602"/>
    <n v="2017"/>
    <x v="9"/>
    <d v="2017-04-14T00:00:00"/>
    <s v="Royal Challengers Bangalore"/>
    <s v="Mumbai Indians"/>
    <m/>
    <s v="Mumbai Indians"/>
    <x v="0"/>
    <s v="Win"/>
    <x v="7"/>
    <x v="91"/>
    <x v="0"/>
    <s v="Bangalore"/>
  </r>
  <r>
    <n v="1082604"/>
    <n v="2017"/>
    <x v="9"/>
    <d v="2017-04-15T00:00:00"/>
    <s v="Kolkata Knight Riders"/>
    <s v="Sunrisers Hyderabad"/>
    <m/>
    <s v="Sunrisers Hyderabad"/>
    <x v="0"/>
    <s v="Win"/>
    <x v="0"/>
    <x v="75"/>
    <x v="3"/>
    <s v="Kolkata"/>
  </r>
  <r>
    <n v="1082605"/>
    <n v="2017"/>
    <x v="9"/>
    <d v="2017-04-15T00:00:00"/>
    <s v="Delhi Daredevils"/>
    <s v="Kings XI Punjab"/>
    <m/>
    <s v="Delhi Daredevils"/>
    <x v="1"/>
    <s v="Win"/>
    <x v="2"/>
    <x v="159"/>
    <x v="2"/>
    <s v="Delhi"/>
  </r>
  <r>
    <n v="1082606"/>
    <n v="2017"/>
    <x v="9"/>
    <d v="2017-04-16T00:00:00"/>
    <s v="Mumbai Indians"/>
    <s v="Gujarat Lions"/>
    <m/>
    <s v="Mumbai Indians"/>
    <x v="0"/>
    <s v="Win"/>
    <x v="7"/>
    <x v="189"/>
    <x v="4"/>
    <s v="Mumbai"/>
  </r>
  <r>
    <n v="1082607"/>
    <n v="2017"/>
    <x v="9"/>
    <d v="2017-04-16T00:00:00"/>
    <s v="Royal Challengers Bangalore"/>
    <s v="Rising Pune Supergiant"/>
    <m/>
    <s v="Royal Challengers Bangalore"/>
    <x v="0"/>
    <s v="Win"/>
    <x v="14"/>
    <x v="192"/>
    <x v="0"/>
    <s v="Bangalore"/>
  </r>
  <r>
    <n v="1082609"/>
    <n v="2017"/>
    <x v="9"/>
    <d v="2017-04-17T00:00:00"/>
    <s v="Sunrisers Hyderabad"/>
    <s v="Kings XI Punjab"/>
    <m/>
    <s v="Kings XI Punjab"/>
    <x v="0"/>
    <s v="Win"/>
    <x v="11"/>
    <x v="157"/>
    <x v="6"/>
    <s v="Hyderabad"/>
  </r>
  <r>
    <n v="1082608"/>
    <n v="2017"/>
    <x v="9"/>
    <d v="2017-04-17T00:00:00"/>
    <s v="Delhi Daredevils"/>
    <s v="Kolkata Knight Riders"/>
    <m/>
    <s v="Delhi Daredevils"/>
    <x v="1"/>
    <s v="Win"/>
    <x v="0"/>
    <x v="170"/>
    <x v="2"/>
    <s v="Delhi"/>
  </r>
  <r>
    <n v="1082610"/>
    <n v="2017"/>
    <x v="9"/>
    <d v="2017-04-18T00:00:00"/>
    <s v="Gujarat Lions"/>
    <s v="Royal Challengers Bangalore"/>
    <m/>
    <s v="Gujarat Lions"/>
    <x v="0"/>
    <s v="Win"/>
    <x v="3"/>
    <x v="45"/>
    <x v="34"/>
    <s v="Rajkot"/>
  </r>
  <r>
    <n v="1082611"/>
    <n v="2017"/>
    <x v="9"/>
    <d v="2017-04-19T00:00:00"/>
    <s v="Sunrisers Hyderabad"/>
    <s v="Delhi Daredevils"/>
    <m/>
    <s v="Sunrisers Hyderabad"/>
    <x v="1"/>
    <s v="Win"/>
    <x v="11"/>
    <x v="193"/>
    <x v="6"/>
    <s v="Hyderabad"/>
  </r>
  <r>
    <n v="1082612"/>
    <n v="2017"/>
    <x v="9"/>
    <d v="2017-04-20T00:00:00"/>
    <s v="Kings XI Punjab"/>
    <s v="Mumbai Indians"/>
    <m/>
    <s v="Mumbai Indians"/>
    <x v="0"/>
    <s v="Win"/>
    <x v="7"/>
    <x v="194"/>
    <x v="24"/>
    <s v="Indore"/>
  </r>
  <r>
    <n v="1082613"/>
    <n v="2017"/>
    <x v="9"/>
    <d v="2017-04-21T00:00:00"/>
    <s v="Kolkata Knight Riders"/>
    <s v="Gujarat Lions"/>
    <m/>
    <s v="Gujarat Lions"/>
    <x v="0"/>
    <s v="Win"/>
    <x v="13"/>
    <x v="38"/>
    <x v="3"/>
    <s v="Kolkata"/>
  </r>
  <r>
    <n v="1082614"/>
    <n v="2017"/>
    <x v="9"/>
    <d v="2017-04-22T00:00:00"/>
    <s v="Mumbai Indians"/>
    <s v="Delhi Daredevils"/>
    <m/>
    <s v="Delhi Daredevils"/>
    <x v="0"/>
    <s v="Win"/>
    <x v="7"/>
    <x v="175"/>
    <x v="4"/>
    <s v="Mumbai"/>
  </r>
  <r>
    <n v="1082615"/>
    <n v="2017"/>
    <x v="9"/>
    <d v="2017-04-22T00:00:00"/>
    <s v="Rising Pune Supergiant"/>
    <s v="Sunrisers Hyderabad"/>
    <m/>
    <s v="Rising Pune Supergiant"/>
    <x v="0"/>
    <s v="Win"/>
    <x v="14"/>
    <x v="13"/>
    <x v="27"/>
    <s v="Pune"/>
  </r>
  <r>
    <n v="1082617"/>
    <n v="2017"/>
    <x v="9"/>
    <d v="2017-04-23T00:00:00"/>
    <s v="Kolkata Knight Riders"/>
    <s v="Royal Challengers Bangalore"/>
    <m/>
    <s v="Royal Challengers Bangalore"/>
    <x v="0"/>
    <s v="Win"/>
    <x v="0"/>
    <x v="170"/>
    <x v="3"/>
    <s v="Kolkata"/>
  </r>
  <r>
    <n v="1082616"/>
    <n v="2017"/>
    <x v="9"/>
    <d v="2017-04-23T00:00:00"/>
    <s v="Gujarat Lions"/>
    <s v="Kings XI Punjab"/>
    <m/>
    <s v="Gujarat Lions"/>
    <x v="0"/>
    <s v="Win"/>
    <x v="5"/>
    <x v="186"/>
    <x v="34"/>
    <s v="Rajkot"/>
  </r>
  <r>
    <n v="1082618"/>
    <n v="2017"/>
    <x v="9"/>
    <d v="2017-04-24T00:00:00"/>
    <s v="Mumbai Indians"/>
    <s v="Rising Pune Supergiant"/>
    <m/>
    <s v="Mumbai Indians"/>
    <x v="0"/>
    <s v="Win"/>
    <x v="14"/>
    <x v="192"/>
    <x v="4"/>
    <s v="Mumbai"/>
  </r>
  <r>
    <n v="1082620"/>
    <n v="2017"/>
    <x v="9"/>
    <d v="2017-04-26T00:00:00"/>
    <s v="Rising Pune Supergiant"/>
    <s v="Kolkata Knight Riders"/>
    <m/>
    <s v="Kolkata Knight Riders"/>
    <x v="0"/>
    <s v="Win"/>
    <x v="0"/>
    <x v="75"/>
    <x v="27"/>
    <s v="Pune"/>
  </r>
  <r>
    <n v="1082621"/>
    <n v="2017"/>
    <x v="9"/>
    <d v="2017-04-27T00:00:00"/>
    <s v="Royal Challengers Bangalore"/>
    <s v="Gujarat Lions"/>
    <m/>
    <s v="Gujarat Lions"/>
    <x v="0"/>
    <s v="Win"/>
    <x v="13"/>
    <x v="191"/>
    <x v="0"/>
    <s v="Bangalore"/>
  </r>
  <r>
    <n v="1082622"/>
    <n v="2017"/>
    <x v="9"/>
    <d v="2017-04-28T00:00:00"/>
    <s v="Kolkata Knight Riders"/>
    <s v="Delhi Daredevils"/>
    <m/>
    <s v="Kolkata Knight Riders"/>
    <x v="0"/>
    <s v="Win"/>
    <x v="0"/>
    <x v="56"/>
    <x v="3"/>
    <s v="Kolkata"/>
  </r>
  <r>
    <n v="1082623"/>
    <n v="2017"/>
    <x v="9"/>
    <d v="2017-04-28T00:00:00"/>
    <s v="Kings XI Punjab"/>
    <s v="Sunrisers Hyderabad"/>
    <m/>
    <s v="Kings XI Punjab"/>
    <x v="0"/>
    <s v="Win"/>
    <x v="11"/>
    <x v="188"/>
    <x v="33"/>
    <s v="Chandigarh"/>
  </r>
  <r>
    <n v="1082624"/>
    <n v="2017"/>
    <x v="9"/>
    <d v="2017-04-29T00:00:00"/>
    <s v="Rising Pune Supergiant"/>
    <s v="Royal Challengers Bangalore"/>
    <m/>
    <s v="Royal Challengers Bangalore"/>
    <x v="0"/>
    <s v="Win"/>
    <x v="14"/>
    <x v="195"/>
    <x v="27"/>
    <s v="Pune"/>
  </r>
  <r>
    <n v="1082625"/>
    <n v="2017"/>
    <x v="9"/>
    <d v="2017-04-29T00:00:00"/>
    <s v="Gujarat Lions"/>
    <s v="Mumbai Indians"/>
    <m/>
    <s v="Gujarat Lions"/>
    <x v="1"/>
    <s v="tie"/>
    <x v="8"/>
    <x v="185"/>
    <x v="34"/>
    <s v="Rajkot"/>
  </r>
  <r>
    <n v="1082626"/>
    <n v="2017"/>
    <x v="9"/>
    <d v="2017-04-30T00:00:00"/>
    <s v="Kings XI Punjab"/>
    <s v="Delhi Daredevils"/>
    <m/>
    <s v="Kings XI Punjab"/>
    <x v="0"/>
    <s v="Win"/>
    <x v="5"/>
    <x v="155"/>
    <x v="33"/>
    <s v="Chandigarh"/>
  </r>
  <r>
    <n v="1082627"/>
    <n v="2017"/>
    <x v="9"/>
    <d v="2017-04-30T00:00:00"/>
    <s v="Sunrisers Hyderabad"/>
    <s v="Kolkata Knight Riders"/>
    <m/>
    <s v="Kolkata Knight Riders"/>
    <x v="0"/>
    <s v="Win"/>
    <x v="11"/>
    <x v="79"/>
    <x v="6"/>
    <s v="Hyderabad"/>
  </r>
  <r>
    <n v="1082629"/>
    <n v="2017"/>
    <x v="9"/>
    <d v="2017-05-01T00:00:00"/>
    <s v="Rising Pune Supergiant"/>
    <s v="Gujarat Lions"/>
    <m/>
    <s v="Rising Pune Supergiant"/>
    <x v="0"/>
    <s v="Win"/>
    <x v="14"/>
    <x v="192"/>
    <x v="27"/>
    <s v="Pune"/>
  </r>
  <r>
    <n v="1082628"/>
    <n v="2017"/>
    <x v="9"/>
    <d v="2017-05-01T00:00:00"/>
    <s v="Mumbai Indians"/>
    <s v="Royal Challengers Bangalore"/>
    <m/>
    <s v="Royal Challengers Bangalore"/>
    <x v="1"/>
    <s v="Win"/>
    <x v="7"/>
    <x v="57"/>
    <x v="4"/>
    <s v="Mumbai"/>
  </r>
  <r>
    <n v="1082630"/>
    <n v="2017"/>
    <x v="9"/>
    <d v="2017-05-02T00:00:00"/>
    <s v="Delhi Daredevils"/>
    <s v="Sunrisers Hyderabad"/>
    <m/>
    <s v="Delhi Daredevils"/>
    <x v="0"/>
    <s v="Win"/>
    <x v="2"/>
    <x v="196"/>
    <x v="2"/>
    <s v="Delhi"/>
  </r>
  <r>
    <n v="1082631"/>
    <n v="2017"/>
    <x v="9"/>
    <d v="2017-05-03T00:00:00"/>
    <s v="Kolkata Knight Riders"/>
    <s v="Rising Pune Supergiant"/>
    <m/>
    <s v="Rising Pune Supergiant"/>
    <x v="0"/>
    <s v="Win"/>
    <x v="14"/>
    <x v="197"/>
    <x v="3"/>
    <s v="Kolkata"/>
  </r>
  <r>
    <n v="1082632"/>
    <n v="2017"/>
    <x v="9"/>
    <d v="2017-05-04T00:00:00"/>
    <s v="Delhi Daredevils"/>
    <s v="Gujarat Lions"/>
    <m/>
    <s v="Delhi Daredevils"/>
    <x v="0"/>
    <s v="Win"/>
    <x v="2"/>
    <x v="182"/>
    <x v="2"/>
    <s v="Delhi"/>
  </r>
  <r>
    <n v="1082633"/>
    <n v="2017"/>
    <x v="9"/>
    <d v="2017-05-05T00:00:00"/>
    <s v="Royal Challengers Bangalore"/>
    <s v="Kings XI Punjab"/>
    <m/>
    <s v="Royal Challengers Bangalore"/>
    <x v="0"/>
    <s v="Win"/>
    <x v="5"/>
    <x v="155"/>
    <x v="0"/>
    <s v="Bangalore"/>
  </r>
  <r>
    <n v="1082635"/>
    <n v="2017"/>
    <x v="9"/>
    <d v="2017-05-06T00:00:00"/>
    <s v="Delhi Daredevils"/>
    <s v="Mumbai Indians"/>
    <m/>
    <s v="Delhi Daredevils"/>
    <x v="0"/>
    <s v="Win"/>
    <x v="7"/>
    <x v="161"/>
    <x v="2"/>
    <s v="Delhi"/>
  </r>
  <r>
    <n v="1082634"/>
    <n v="2017"/>
    <x v="9"/>
    <d v="2017-05-06T00:00:00"/>
    <s v="Sunrisers Hyderabad"/>
    <s v="Rising Pune Supergiant"/>
    <m/>
    <s v="Sunrisers Hyderabad"/>
    <x v="0"/>
    <s v="Win"/>
    <x v="14"/>
    <x v="92"/>
    <x v="6"/>
    <s v="Hyderabad"/>
  </r>
  <r>
    <n v="1082637"/>
    <n v="2017"/>
    <x v="9"/>
    <d v="2017-05-07T00:00:00"/>
    <s v="Kings XI Punjab"/>
    <s v="Gujarat Lions"/>
    <m/>
    <s v="Gujarat Lions"/>
    <x v="0"/>
    <s v="Win"/>
    <x v="13"/>
    <x v="60"/>
    <x v="33"/>
    <s v="Chandigarh"/>
  </r>
  <r>
    <n v="1082636"/>
    <n v="2017"/>
    <x v="9"/>
    <d v="2017-05-07T00:00:00"/>
    <s v="Royal Challengers Bangalore"/>
    <s v="Kolkata Knight Riders"/>
    <m/>
    <s v="Kolkata Knight Riders"/>
    <x v="0"/>
    <s v="Win"/>
    <x v="0"/>
    <x v="127"/>
    <x v="0"/>
    <s v="Bangalore"/>
  </r>
  <r>
    <n v="1082638"/>
    <n v="2017"/>
    <x v="9"/>
    <d v="2017-05-08T00:00:00"/>
    <s v="Sunrisers Hyderabad"/>
    <s v="Mumbai Indians"/>
    <m/>
    <s v="Mumbai Indians"/>
    <x v="1"/>
    <s v="Win"/>
    <x v="11"/>
    <x v="115"/>
    <x v="6"/>
    <s v="Hyderabad"/>
  </r>
  <r>
    <n v="1082639"/>
    <n v="2017"/>
    <x v="9"/>
    <d v="2017-05-09T00:00:00"/>
    <s v="Kings XI Punjab"/>
    <s v="Kolkata Knight Riders"/>
    <m/>
    <s v="Kolkata Knight Riders"/>
    <x v="0"/>
    <s v="Win"/>
    <x v="5"/>
    <x v="154"/>
    <x v="33"/>
    <s v="Chandigarh"/>
  </r>
  <r>
    <n v="1082640"/>
    <n v="2017"/>
    <x v="9"/>
    <d v="2017-05-10T00:00:00"/>
    <s v="Gujarat Lions"/>
    <s v="Delhi Daredevils"/>
    <m/>
    <s v="Delhi Daredevils"/>
    <x v="0"/>
    <s v="Win"/>
    <x v="2"/>
    <x v="166"/>
    <x v="35"/>
    <s v="Kanpur"/>
  </r>
  <r>
    <n v="1082641"/>
    <n v="2017"/>
    <x v="9"/>
    <d v="2017-05-11T00:00:00"/>
    <s v="Mumbai Indians"/>
    <s v="Kings XI Punjab"/>
    <m/>
    <s v="Mumbai Indians"/>
    <x v="0"/>
    <s v="Win"/>
    <x v="5"/>
    <x v="113"/>
    <x v="4"/>
    <s v="Mumbai"/>
  </r>
  <r>
    <n v="1082642"/>
    <n v="2017"/>
    <x v="9"/>
    <d v="2017-05-12T00:00:00"/>
    <s v="Delhi Daredevils"/>
    <s v="Rising Pune Supergiant"/>
    <m/>
    <s v="Delhi Daredevils"/>
    <x v="1"/>
    <s v="Win"/>
    <x v="2"/>
    <x v="158"/>
    <x v="2"/>
    <s v="Delhi"/>
  </r>
  <r>
    <n v="1082643"/>
    <n v="2017"/>
    <x v="9"/>
    <d v="2017-05-13T00:00:00"/>
    <s v="Gujarat Lions"/>
    <s v="Sunrisers Hyderabad"/>
    <m/>
    <s v="Sunrisers Hyderabad"/>
    <x v="0"/>
    <s v="Win"/>
    <x v="11"/>
    <x v="198"/>
    <x v="35"/>
    <s v="Kanpur"/>
  </r>
  <r>
    <n v="1082644"/>
    <n v="2017"/>
    <x v="9"/>
    <d v="2017-05-13T00:00:00"/>
    <s v="Kolkata Knight Riders"/>
    <s v="Mumbai Indians"/>
    <m/>
    <s v="Kolkata Knight Riders"/>
    <x v="0"/>
    <s v="Win"/>
    <x v="7"/>
    <x v="83"/>
    <x v="3"/>
    <s v="Kolkata"/>
  </r>
  <r>
    <n v="1082646"/>
    <n v="2017"/>
    <x v="9"/>
    <d v="2017-05-14T00:00:00"/>
    <s v="Delhi Daredevils"/>
    <s v="Royal Challengers Bangalore"/>
    <m/>
    <s v="Royal Challengers Bangalore"/>
    <x v="1"/>
    <s v="Win"/>
    <x v="3"/>
    <x v="199"/>
    <x v="2"/>
    <s v="Delhi"/>
  </r>
  <r>
    <n v="1082645"/>
    <n v="2017"/>
    <x v="9"/>
    <d v="2017-05-14T00:00:00"/>
    <s v="Rising Pune Supergiant"/>
    <s v="Kings XI Punjab"/>
    <m/>
    <s v="Rising Pune Supergiant"/>
    <x v="0"/>
    <s v="Win"/>
    <x v="14"/>
    <x v="92"/>
    <x v="27"/>
    <s v="Pune"/>
  </r>
  <r>
    <n v="1082647"/>
    <n v="2017"/>
    <x v="9"/>
    <d v="2017-05-16T00:00:00"/>
    <s v="Mumbai Indians"/>
    <s v="Rising Pune Supergiant"/>
    <m/>
    <s v="Mumbai Indians"/>
    <x v="0"/>
    <s v="Win"/>
    <x v="14"/>
    <x v="200"/>
    <x v="4"/>
    <s v="Mumbai"/>
  </r>
  <r>
    <n v="1082648"/>
    <n v="2017"/>
    <x v="9"/>
    <d v="2017-05-17T00:00:00"/>
    <s v="Sunrisers Hyderabad"/>
    <s v="Kolkata Knight Riders"/>
    <m/>
    <s v="Kolkata Knight Riders"/>
    <x v="0"/>
    <s v="Win"/>
    <x v="0"/>
    <x v="170"/>
    <x v="0"/>
    <s v="Bangalore"/>
  </r>
  <r>
    <n v="1082649"/>
    <n v="2017"/>
    <x v="9"/>
    <d v="2017-05-19T00:00:00"/>
    <s v="Mumbai Indians"/>
    <s v="Kolkata Knight Riders"/>
    <m/>
    <s v="Mumbai Indians"/>
    <x v="0"/>
    <s v="Win"/>
    <x v="7"/>
    <x v="201"/>
    <x v="0"/>
    <s v="Bangalore"/>
  </r>
  <r>
    <n v="1082650"/>
    <n v="2017"/>
    <x v="9"/>
    <d v="2017-05-21T00:00:00"/>
    <s v="Mumbai Indians"/>
    <s v="Rising Pune Supergiant"/>
    <m/>
    <s v="Mumbai Indians"/>
    <x v="1"/>
    <s v="Win"/>
    <x v="7"/>
    <x v="185"/>
    <x v="6"/>
    <s v="Hyderabad"/>
  </r>
  <r>
    <n v="1136561"/>
    <n v="2018"/>
    <x v="10"/>
    <d v="2018-04-07T00:00:00"/>
    <s v="Mumbai Indians"/>
    <s v="Chennai Super Kings"/>
    <m/>
    <s v="Chennai Super Kings"/>
    <x v="0"/>
    <s v="Win"/>
    <x v="1"/>
    <x v="31"/>
    <x v="4"/>
    <s v="Mumbai"/>
  </r>
  <r>
    <n v="1136563"/>
    <n v="2018"/>
    <x v="10"/>
    <d v="2018-04-08T00:00:00"/>
    <s v="Royal Challengers Bangalore"/>
    <s v="Kolkata Knight Riders"/>
    <m/>
    <s v="Kolkata Knight Riders"/>
    <x v="0"/>
    <s v="Win"/>
    <x v="0"/>
    <x v="127"/>
    <x v="3"/>
    <s v="Kolkata"/>
  </r>
  <r>
    <n v="1136562"/>
    <n v="2018"/>
    <x v="10"/>
    <d v="2018-04-08T00:00:00"/>
    <s v="Delhi Daredevils"/>
    <s v="Kings XI Punjab"/>
    <m/>
    <s v="Kings XI Punjab"/>
    <x v="0"/>
    <s v="Win"/>
    <x v="5"/>
    <x v="202"/>
    <x v="37"/>
    <s v="Chandigarh"/>
  </r>
  <r>
    <n v="1136564"/>
    <n v="2018"/>
    <x v="10"/>
    <d v="2018-04-09T00:00:00"/>
    <s v="Rajasthan Royals"/>
    <s v="Sunrisers Hyderabad"/>
    <m/>
    <s v="Sunrisers Hyderabad"/>
    <x v="0"/>
    <s v="Win"/>
    <x v="11"/>
    <x v="115"/>
    <x v="38"/>
    <s v="Hyderabad"/>
  </r>
  <r>
    <n v="1136565"/>
    <n v="2018"/>
    <x v="10"/>
    <d v="2018-04-10T00:00:00"/>
    <s v="Kolkata Knight Riders"/>
    <s v="Chennai Super Kings"/>
    <m/>
    <s v="Chennai Super Kings"/>
    <x v="0"/>
    <s v="Win"/>
    <x v="1"/>
    <x v="203"/>
    <x v="39"/>
    <s v="Chennai"/>
  </r>
  <r>
    <n v="1136566"/>
    <n v="2018"/>
    <x v="10"/>
    <d v="2018-04-11T00:00:00"/>
    <s v="Rajasthan Royals"/>
    <s v="Delhi Daredevils"/>
    <m/>
    <s v="Delhi Daredevils"/>
    <x v="0"/>
    <s v="Win"/>
    <x v="4"/>
    <x v="144"/>
    <x v="5"/>
    <s v="Jaipur"/>
  </r>
  <r>
    <n v="1136567"/>
    <n v="2018"/>
    <x v="10"/>
    <d v="2018-04-12T00:00:00"/>
    <s v="Mumbai Indians"/>
    <s v="Sunrisers Hyderabad"/>
    <m/>
    <s v="Sunrisers Hyderabad"/>
    <x v="0"/>
    <s v="Win"/>
    <x v="11"/>
    <x v="188"/>
    <x v="38"/>
    <s v="Hyderabad"/>
  </r>
  <r>
    <n v="1136568"/>
    <n v="2018"/>
    <x v="10"/>
    <d v="2018-04-13T00:00:00"/>
    <s v="Kings XI Punjab"/>
    <s v="Royal Challengers Bangalore"/>
    <m/>
    <s v="Royal Challengers Bangalore"/>
    <x v="0"/>
    <s v="Win"/>
    <x v="3"/>
    <x v="136"/>
    <x v="36"/>
    <s v="Bengaluru"/>
  </r>
  <r>
    <n v="1136570"/>
    <n v="2018"/>
    <x v="10"/>
    <d v="2018-04-14T00:00:00"/>
    <s v="Kolkata Knight Riders"/>
    <s v="Sunrisers Hyderabad"/>
    <m/>
    <s v="Sunrisers Hyderabad"/>
    <x v="0"/>
    <s v="Win"/>
    <x v="11"/>
    <x v="204"/>
    <x v="3"/>
    <s v="Kolkata"/>
  </r>
  <r>
    <n v="1136569"/>
    <n v="2018"/>
    <x v="10"/>
    <d v="2018-04-14T00:00:00"/>
    <s v="Mumbai Indians"/>
    <s v="Delhi Daredevils"/>
    <m/>
    <s v="Delhi Daredevils"/>
    <x v="0"/>
    <s v="Win"/>
    <x v="2"/>
    <x v="205"/>
    <x v="4"/>
    <s v="Mumbai"/>
  </r>
  <r>
    <n v="1136572"/>
    <n v="2018"/>
    <x v="10"/>
    <d v="2018-04-15T00:00:00"/>
    <s v="Kings XI Punjab"/>
    <s v="Chennai Super Kings"/>
    <m/>
    <s v="Chennai Super Kings"/>
    <x v="0"/>
    <s v="Win"/>
    <x v="5"/>
    <x v="45"/>
    <x v="37"/>
    <s v="Chandigarh"/>
  </r>
  <r>
    <n v="1136571"/>
    <n v="2018"/>
    <x v="10"/>
    <d v="2018-04-15T00:00:00"/>
    <s v="Rajasthan Royals"/>
    <s v="Royal Challengers Bangalore"/>
    <m/>
    <s v="Royal Challengers Bangalore"/>
    <x v="0"/>
    <s v="Win"/>
    <x v="4"/>
    <x v="144"/>
    <x v="36"/>
    <s v="Bengaluru"/>
  </r>
  <r>
    <n v="1136573"/>
    <n v="2018"/>
    <x v="10"/>
    <d v="2018-04-16T00:00:00"/>
    <s v="Kolkata Knight Riders"/>
    <s v="Delhi Daredevils"/>
    <m/>
    <s v="Delhi Daredevils"/>
    <x v="0"/>
    <s v="Win"/>
    <x v="0"/>
    <x v="189"/>
    <x v="3"/>
    <s v="Kolkata"/>
  </r>
  <r>
    <n v="1136574"/>
    <n v="2018"/>
    <x v="10"/>
    <d v="2018-04-17T00:00:00"/>
    <s v="Mumbai Indians"/>
    <s v="Royal Challengers Bangalore"/>
    <m/>
    <s v="Royal Challengers Bangalore"/>
    <x v="0"/>
    <s v="Win"/>
    <x v="7"/>
    <x v="57"/>
    <x v="4"/>
    <s v="Mumbai"/>
  </r>
  <r>
    <n v="1136575"/>
    <n v="2018"/>
    <x v="10"/>
    <d v="2018-04-18T00:00:00"/>
    <s v="Rajasthan Royals"/>
    <s v="Kolkata Knight Riders"/>
    <m/>
    <s v="Kolkata Knight Riders"/>
    <x v="0"/>
    <s v="Win"/>
    <x v="0"/>
    <x v="189"/>
    <x v="5"/>
    <s v="Jaipur"/>
  </r>
  <r>
    <n v="1136576"/>
    <n v="2018"/>
    <x v="10"/>
    <d v="2018-04-19T00:00:00"/>
    <s v="Kings XI Punjab"/>
    <s v="Sunrisers Hyderabad"/>
    <m/>
    <s v="Kings XI Punjab"/>
    <x v="1"/>
    <s v="Win"/>
    <x v="5"/>
    <x v="45"/>
    <x v="37"/>
    <s v="Chandigarh"/>
  </r>
  <r>
    <n v="1136577"/>
    <n v="2018"/>
    <x v="10"/>
    <d v="2018-04-20T00:00:00"/>
    <s v="Chennai Super Kings"/>
    <s v="Rajasthan Royals"/>
    <m/>
    <s v="Rajasthan Royals"/>
    <x v="0"/>
    <s v="Win"/>
    <x v="1"/>
    <x v="5"/>
    <x v="27"/>
    <s v="Pune"/>
  </r>
  <r>
    <n v="1136579"/>
    <n v="2018"/>
    <x v="10"/>
    <d v="2018-04-21T00:00:00"/>
    <s v="Delhi Daredevils"/>
    <s v="Royal Challengers Bangalore"/>
    <m/>
    <s v="Royal Challengers Bangalore"/>
    <x v="0"/>
    <s v="Win"/>
    <x v="3"/>
    <x v="46"/>
    <x v="36"/>
    <s v="Bengaluru"/>
  </r>
  <r>
    <n v="1136578"/>
    <n v="2018"/>
    <x v="10"/>
    <d v="2018-04-21T00:00:00"/>
    <s v="Kolkata Knight Riders"/>
    <s v="Kings XI Punjab"/>
    <m/>
    <s v="Kings XI Punjab"/>
    <x v="0"/>
    <s v="Win"/>
    <x v="5"/>
    <x v="202"/>
    <x v="3"/>
    <s v="Kolkata"/>
  </r>
  <r>
    <n v="1136581"/>
    <n v="2018"/>
    <x v="10"/>
    <d v="2018-04-22T00:00:00"/>
    <s v="Mumbai Indians"/>
    <s v="Rajasthan Royals"/>
    <m/>
    <s v="Mumbai Indians"/>
    <x v="1"/>
    <s v="Win"/>
    <x v="4"/>
    <x v="206"/>
    <x v="5"/>
    <s v="Jaipur"/>
  </r>
  <r>
    <n v="1136580"/>
    <n v="2018"/>
    <x v="10"/>
    <d v="2018-04-22T00:00:00"/>
    <s v="Chennai Super Kings"/>
    <s v="Sunrisers Hyderabad"/>
    <m/>
    <s v="Sunrisers Hyderabad"/>
    <x v="0"/>
    <s v="Win"/>
    <x v="1"/>
    <x v="83"/>
    <x v="38"/>
    <s v="Hyderabad"/>
  </r>
  <r>
    <n v="1136582"/>
    <n v="2018"/>
    <x v="10"/>
    <d v="2018-04-23T00:00:00"/>
    <s v="Kings XI Punjab"/>
    <s v="Delhi Daredevils"/>
    <m/>
    <s v="Delhi Daredevils"/>
    <x v="0"/>
    <s v="Win"/>
    <x v="5"/>
    <x v="207"/>
    <x v="40"/>
    <s v="Delhi"/>
  </r>
  <r>
    <n v="1136583"/>
    <n v="2018"/>
    <x v="10"/>
    <d v="2018-04-24T00:00:00"/>
    <s v="Sunrisers Hyderabad"/>
    <s v="Mumbai Indians"/>
    <m/>
    <s v="Mumbai Indians"/>
    <x v="0"/>
    <s v="Win"/>
    <x v="11"/>
    <x v="188"/>
    <x v="4"/>
    <s v="Mumbai"/>
  </r>
  <r>
    <n v="1136584"/>
    <n v="2018"/>
    <x v="10"/>
    <d v="2018-04-25T00:00:00"/>
    <s v="Royal Challengers Bangalore"/>
    <s v="Chennai Super Kings"/>
    <m/>
    <s v="Chennai Super Kings"/>
    <x v="0"/>
    <s v="Win"/>
    <x v="1"/>
    <x v="13"/>
    <x v="36"/>
    <s v="Bengaluru"/>
  </r>
  <r>
    <n v="1136585"/>
    <n v="2018"/>
    <x v="10"/>
    <d v="2018-04-26T00:00:00"/>
    <s v="Sunrisers Hyderabad"/>
    <s v="Kings XI Punjab"/>
    <m/>
    <s v="Kings XI Punjab"/>
    <x v="0"/>
    <s v="Win"/>
    <x v="11"/>
    <x v="207"/>
    <x v="38"/>
    <s v="Hyderabad"/>
  </r>
  <r>
    <n v="1136586"/>
    <n v="2018"/>
    <x v="10"/>
    <d v="2018-04-27T00:00:00"/>
    <s v="Delhi Daredevils"/>
    <s v="Kolkata Knight Riders"/>
    <m/>
    <s v="Kolkata Knight Riders"/>
    <x v="0"/>
    <s v="Win"/>
    <x v="2"/>
    <x v="166"/>
    <x v="40"/>
    <s v="Delhi"/>
  </r>
  <r>
    <n v="1136587"/>
    <n v="2018"/>
    <x v="10"/>
    <d v="2018-04-28T00:00:00"/>
    <s v="Chennai Super Kings"/>
    <s v="Mumbai Indians"/>
    <m/>
    <s v="Mumbai Indians"/>
    <x v="0"/>
    <s v="Win"/>
    <x v="7"/>
    <x v="57"/>
    <x v="27"/>
    <s v="Pune"/>
  </r>
  <r>
    <n v="1136588"/>
    <n v="2018"/>
    <x v="10"/>
    <d v="2018-04-29T00:00:00"/>
    <s v="Sunrisers Hyderabad"/>
    <s v="Rajasthan Royals"/>
    <m/>
    <s v="Sunrisers Hyderabad"/>
    <x v="1"/>
    <s v="Win"/>
    <x v="11"/>
    <x v="193"/>
    <x v="5"/>
    <s v="Jaipur"/>
  </r>
  <r>
    <n v="1136589"/>
    <n v="2018"/>
    <x v="10"/>
    <d v="2018-04-29T00:00:00"/>
    <s v="Royal Challengers Bangalore"/>
    <s v="Kolkata Knight Riders"/>
    <m/>
    <s v="Kolkata Knight Riders"/>
    <x v="0"/>
    <s v="Win"/>
    <x v="0"/>
    <x v="153"/>
    <x v="36"/>
    <s v="Bengaluru"/>
  </r>
  <r>
    <n v="1136590"/>
    <n v="2018"/>
    <x v="10"/>
    <d v="2018-04-30T00:00:00"/>
    <s v="Chennai Super Kings"/>
    <s v="Delhi Daredevils"/>
    <m/>
    <s v="Delhi Daredevils"/>
    <x v="0"/>
    <s v="Win"/>
    <x v="1"/>
    <x v="5"/>
    <x v="27"/>
    <s v="Pune"/>
  </r>
  <r>
    <n v="1136591"/>
    <n v="2018"/>
    <x v="10"/>
    <d v="2018-05-01T00:00:00"/>
    <s v="Royal Challengers Bangalore"/>
    <s v="Mumbai Indians"/>
    <m/>
    <s v="Mumbai Indians"/>
    <x v="0"/>
    <s v="Win"/>
    <x v="3"/>
    <x v="208"/>
    <x v="36"/>
    <s v="Bengaluru"/>
  </r>
  <r>
    <n v="1136592"/>
    <n v="2018"/>
    <x v="10"/>
    <d v="2018-05-02T00:00:00"/>
    <s v="Delhi Daredevils"/>
    <s v="Rajasthan Royals"/>
    <m/>
    <s v="Rajasthan Royals"/>
    <x v="0"/>
    <s v="Win"/>
    <x v="2"/>
    <x v="182"/>
    <x v="40"/>
    <s v="Delhi"/>
  </r>
  <r>
    <n v="1136593"/>
    <n v="2018"/>
    <x v="10"/>
    <d v="2018-05-03T00:00:00"/>
    <s v="Chennai Super Kings"/>
    <s v="Kolkata Knight Riders"/>
    <m/>
    <s v="Kolkata Knight Riders"/>
    <x v="0"/>
    <s v="Win"/>
    <x v="0"/>
    <x v="127"/>
    <x v="3"/>
    <s v="Kolkata"/>
  </r>
  <r>
    <n v="1136594"/>
    <n v="2018"/>
    <x v="10"/>
    <d v="2018-05-04T00:00:00"/>
    <s v="Kings XI Punjab"/>
    <s v="Mumbai Indians"/>
    <m/>
    <s v="Mumbai Indians"/>
    <x v="0"/>
    <s v="Win"/>
    <x v="7"/>
    <x v="178"/>
    <x v="24"/>
    <s v="Indore"/>
  </r>
  <r>
    <n v="1136596"/>
    <n v="2018"/>
    <x v="10"/>
    <d v="2018-05-05T00:00:00"/>
    <s v="Delhi Daredevils"/>
    <s v="Sunrisers Hyderabad"/>
    <m/>
    <s v="Delhi Daredevils"/>
    <x v="1"/>
    <s v="Win"/>
    <x v="11"/>
    <x v="188"/>
    <x v="38"/>
    <s v="Hyderabad"/>
  </r>
  <r>
    <n v="1136595"/>
    <n v="2018"/>
    <x v="10"/>
    <d v="2018-05-05T00:00:00"/>
    <s v="Royal Challengers Bangalore"/>
    <s v="Chennai Super Kings"/>
    <m/>
    <s v="Chennai Super Kings"/>
    <x v="0"/>
    <s v="Win"/>
    <x v="1"/>
    <x v="120"/>
    <x v="27"/>
    <s v="Pune"/>
  </r>
  <r>
    <n v="1136598"/>
    <n v="2018"/>
    <x v="10"/>
    <d v="2018-05-06T00:00:00"/>
    <s v="Rajasthan Royals"/>
    <s v="Kings XI Punjab"/>
    <m/>
    <s v="Kings XI Punjab"/>
    <x v="0"/>
    <s v="Win"/>
    <x v="5"/>
    <x v="209"/>
    <x v="24"/>
    <s v="Indore"/>
  </r>
  <r>
    <n v="1136597"/>
    <n v="2018"/>
    <x v="10"/>
    <d v="2018-05-06T00:00:00"/>
    <s v="Mumbai Indians"/>
    <s v="Kolkata Knight Riders"/>
    <m/>
    <s v="Kolkata Knight Riders"/>
    <x v="0"/>
    <s v="Win"/>
    <x v="7"/>
    <x v="172"/>
    <x v="4"/>
    <s v="Mumbai"/>
  </r>
  <r>
    <n v="1136599"/>
    <n v="2018"/>
    <x v="10"/>
    <d v="2018-05-07T00:00:00"/>
    <s v="Sunrisers Hyderabad"/>
    <s v="Royal Challengers Bangalore"/>
    <m/>
    <s v="Royal Challengers Bangalore"/>
    <x v="0"/>
    <s v="Win"/>
    <x v="11"/>
    <x v="193"/>
    <x v="38"/>
    <s v="Hyderabad"/>
  </r>
  <r>
    <n v="1136600"/>
    <n v="2018"/>
    <x v="10"/>
    <d v="2018-05-08T00:00:00"/>
    <s v="Rajasthan Royals"/>
    <s v="Kings XI Punjab"/>
    <m/>
    <s v="Rajasthan Royals"/>
    <x v="1"/>
    <s v="Win"/>
    <x v="4"/>
    <x v="194"/>
    <x v="5"/>
    <s v="Jaipur"/>
  </r>
  <r>
    <n v="1136601"/>
    <n v="2018"/>
    <x v="10"/>
    <d v="2018-05-09T00:00:00"/>
    <s v="Mumbai Indians"/>
    <s v="Kolkata Knight Riders"/>
    <m/>
    <s v="Kolkata Knight Riders"/>
    <x v="0"/>
    <s v="Win"/>
    <x v="7"/>
    <x v="210"/>
    <x v="3"/>
    <s v="Kolkata"/>
  </r>
  <r>
    <n v="1136602"/>
    <n v="2018"/>
    <x v="10"/>
    <d v="2018-05-10T00:00:00"/>
    <s v="Delhi Daredevils"/>
    <s v="Sunrisers Hyderabad"/>
    <m/>
    <s v="Delhi Daredevils"/>
    <x v="1"/>
    <s v="Win"/>
    <x v="11"/>
    <x v="115"/>
    <x v="40"/>
    <s v="Delhi"/>
  </r>
  <r>
    <n v="1136603"/>
    <n v="2018"/>
    <x v="10"/>
    <d v="2018-05-11T00:00:00"/>
    <s v="Chennai Super Kings"/>
    <s v="Rajasthan Royals"/>
    <m/>
    <s v="Chennai Super Kings"/>
    <x v="1"/>
    <s v="Win"/>
    <x v="4"/>
    <x v="194"/>
    <x v="5"/>
    <s v="Jaipur"/>
  </r>
  <r>
    <n v="1136604"/>
    <n v="2018"/>
    <x v="10"/>
    <d v="2018-05-12T00:00:00"/>
    <s v="Kolkata Knight Riders"/>
    <s v="Kings XI Punjab"/>
    <m/>
    <s v="Kings XI Punjab"/>
    <x v="0"/>
    <s v="Win"/>
    <x v="0"/>
    <x v="127"/>
    <x v="24"/>
    <s v="Indore"/>
  </r>
  <r>
    <n v="1136605"/>
    <n v="2018"/>
    <x v="10"/>
    <d v="2018-05-12T00:00:00"/>
    <s v="Delhi Daredevils"/>
    <s v="Royal Challengers Bangalore"/>
    <m/>
    <s v="Royal Challengers Bangalore"/>
    <x v="0"/>
    <s v="Win"/>
    <x v="3"/>
    <x v="46"/>
    <x v="40"/>
    <s v="Delhi"/>
  </r>
  <r>
    <n v="1136606"/>
    <n v="2018"/>
    <x v="10"/>
    <d v="2018-05-13T00:00:00"/>
    <s v="Sunrisers Hyderabad"/>
    <s v="Chennai Super Kings"/>
    <m/>
    <s v="Chennai Super Kings"/>
    <x v="0"/>
    <s v="Win"/>
    <x v="1"/>
    <x v="83"/>
    <x v="27"/>
    <s v="Pune"/>
  </r>
  <r>
    <n v="1136607"/>
    <n v="2018"/>
    <x v="10"/>
    <d v="2018-05-13T00:00:00"/>
    <s v="Mumbai Indians"/>
    <s v="Rajasthan Royals"/>
    <m/>
    <s v="Rajasthan Royals"/>
    <x v="0"/>
    <s v="Win"/>
    <x v="4"/>
    <x v="194"/>
    <x v="4"/>
    <s v="Mumbai"/>
  </r>
  <r>
    <n v="1136608"/>
    <n v="2018"/>
    <x v="10"/>
    <d v="2018-05-14T00:00:00"/>
    <s v="Kings XI Punjab"/>
    <s v="Royal Challengers Bangalore"/>
    <m/>
    <s v="Royal Challengers Bangalore"/>
    <x v="0"/>
    <s v="Win"/>
    <x v="3"/>
    <x v="136"/>
    <x v="24"/>
    <s v="Indore"/>
  </r>
  <r>
    <n v="1136609"/>
    <n v="2018"/>
    <x v="10"/>
    <d v="2018-05-15T00:00:00"/>
    <s v="Rajasthan Royals"/>
    <s v="Kolkata Knight Riders"/>
    <m/>
    <s v="Kolkata Knight Riders"/>
    <x v="0"/>
    <s v="Win"/>
    <x v="0"/>
    <x v="211"/>
    <x v="3"/>
    <s v="Kolkata"/>
  </r>
  <r>
    <n v="1136610"/>
    <n v="2018"/>
    <x v="10"/>
    <d v="2018-05-16T00:00:00"/>
    <s v="Mumbai Indians"/>
    <s v="Kings XI Punjab"/>
    <m/>
    <s v="Kings XI Punjab"/>
    <x v="0"/>
    <s v="Win"/>
    <x v="7"/>
    <x v="190"/>
    <x v="4"/>
    <s v="Mumbai"/>
  </r>
  <r>
    <n v="1136611"/>
    <n v="2018"/>
    <x v="10"/>
    <d v="2018-05-17T00:00:00"/>
    <s v="Royal Challengers Bangalore"/>
    <s v="Sunrisers Hyderabad"/>
    <m/>
    <s v="Sunrisers Hyderabad"/>
    <x v="0"/>
    <s v="Win"/>
    <x v="3"/>
    <x v="46"/>
    <x v="36"/>
    <s v="Bengaluru"/>
  </r>
  <r>
    <n v="1136612"/>
    <n v="2018"/>
    <x v="10"/>
    <d v="2018-05-18T00:00:00"/>
    <s v="Delhi Daredevils"/>
    <s v="Chennai Super Kings"/>
    <m/>
    <s v="Chennai Super Kings"/>
    <x v="0"/>
    <s v="Win"/>
    <x v="2"/>
    <x v="199"/>
    <x v="40"/>
    <s v="Delhi"/>
  </r>
  <r>
    <n v="1136613"/>
    <n v="2018"/>
    <x v="10"/>
    <d v="2018-05-19T00:00:00"/>
    <s v="Rajasthan Royals"/>
    <s v="Royal Challengers Bangalore"/>
    <m/>
    <s v="Rajasthan Royals"/>
    <x v="1"/>
    <s v="Win"/>
    <x v="4"/>
    <x v="212"/>
    <x v="5"/>
    <s v="Jaipur"/>
  </r>
  <r>
    <n v="1136614"/>
    <n v="2018"/>
    <x v="10"/>
    <d v="2018-05-19T00:00:00"/>
    <s v="Sunrisers Hyderabad"/>
    <s v="Kolkata Knight Riders"/>
    <m/>
    <s v="Sunrisers Hyderabad"/>
    <x v="1"/>
    <s v="Win"/>
    <x v="0"/>
    <x v="153"/>
    <x v="38"/>
    <s v="Hyderabad"/>
  </r>
  <r>
    <n v="1136615"/>
    <n v="2018"/>
    <x v="10"/>
    <d v="2018-05-20T00:00:00"/>
    <s v="Delhi Daredevils"/>
    <s v="Mumbai Indians"/>
    <m/>
    <s v="Delhi Daredevils"/>
    <x v="1"/>
    <s v="Win"/>
    <x v="2"/>
    <x v="27"/>
    <x v="40"/>
    <s v="Delhi"/>
  </r>
  <r>
    <n v="1136616"/>
    <n v="2018"/>
    <x v="10"/>
    <d v="2018-05-20T00:00:00"/>
    <s v="Kings XI Punjab"/>
    <s v="Chennai Super Kings"/>
    <m/>
    <s v="Chennai Super Kings"/>
    <x v="0"/>
    <s v="Win"/>
    <x v="1"/>
    <x v="213"/>
    <x v="27"/>
    <s v="Pune"/>
  </r>
  <r>
    <n v="1136617"/>
    <n v="2018"/>
    <x v="10"/>
    <d v="2018-05-22T00:00:00"/>
    <s v="Sunrisers Hyderabad"/>
    <s v="Chennai Super Kings"/>
    <m/>
    <s v="Chennai Super Kings"/>
    <x v="0"/>
    <s v="Win"/>
    <x v="1"/>
    <x v="124"/>
    <x v="4"/>
    <s v="Mumbai"/>
  </r>
  <r>
    <n v="1136618"/>
    <n v="2018"/>
    <x v="10"/>
    <d v="2018-05-23T00:00:00"/>
    <s v="Kolkata Knight Riders"/>
    <s v="Rajasthan Royals"/>
    <m/>
    <s v="Rajasthan Royals"/>
    <x v="0"/>
    <s v="Win"/>
    <x v="0"/>
    <x v="165"/>
    <x v="3"/>
    <s v="Kolkata"/>
  </r>
  <r>
    <n v="1136619"/>
    <n v="2018"/>
    <x v="10"/>
    <d v="2018-05-25T00:00:00"/>
    <s v="Sunrisers Hyderabad"/>
    <s v="Kolkata Knight Riders"/>
    <m/>
    <s v="Kolkata Knight Riders"/>
    <x v="0"/>
    <s v="Win"/>
    <x v="11"/>
    <x v="188"/>
    <x v="3"/>
    <s v="Kolkata"/>
  </r>
  <r>
    <n v="1136620"/>
    <n v="2018"/>
    <x v="10"/>
    <d v="2018-05-27T00:00:00"/>
    <s v="Sunrisers Hyderabad"/>
    <s v="Chennai Super Kings"/>
    <m/>
    <s v="Chennai Super Kings"/>
    <x v="0"/>
    <s v="Win"/>
    <x v="1"/>
    <x v="5"/>
    <x v="4"/>
    <s v="Mumbai"/>
  </r>
  <r>
    <n v="1175356"/>
    <n v="2019"/>
    <x v="11"/>
    <d v="2019-03-23T00:00:00"/>
    <s v="Royal Challengers Bangalore"/>
    <s v="Chennai Super Kings"/>
    <m/>
    <s v="Chennai Super Kings"/>
    <x v="0"/>
    <s v="Win"/>
    <x v="1"/>
    <x v="62"/>
    <x v="39"/>
    <s v="Chennai"/>
  </r>
  <r>
    <n v="1175358"/>
    <n v="2019"/>
    <x v="11"/>
    <d v="2019-03-24T00:00:00"/>
    <s v="Delhi Capitals"/>
    <s v="Mumbai Indians"/>
    <m/>
    <s v="Mumbai Indians"/>
    <x v="0"/>
    <s v="Win"/>
    <x v="15"/>
    <x v="182"/>
    <x v="4"/>
    <s v="Mumbai"/>
  </r>
  <r>
    <n v="1175357"/>
    <n v="2019"/>
    <x v="11"/>
    <d v="2019-03-24T00:00:00"/>
    <s v="Sunrisers Hyderabad"/>
    <s v="Kolkata Knight Riders"/>
    <m/>
    <s v="Kolkata Knight Riders"/>
    <x v="0"/>
    <s v="Win"/>
    <x v="0"/>
    <x v="165"/>
    <x v="3"/>
    <s v="Kolkata"/>
  </r>
  <r>
    <n v="1175359"/>
    <n v="2019"/>
    <x v="11"/>
    <d v="2019-03-25T00:00:00"/>
    <s v="Kings XI Punjab"/>
    <s v="Rajasthan Royals"/>
    <m/>
    <s v="Rajasthan Royals"/>
    <x v="0"/>
    <s v="Win"/>
    <x v="5"/>
    <x v="45"/>
    <x v="5"/>
    <s v="Jaipur"/>
  </r>
  <r>
    <n v="1175360"/>
    <n v="2019"/>
    <x v="11"/>
    <d v="2019-03-26T00:00:00"/>
    <s v="Delhi Capitals"/>
    <s v="Chennai Super Kings"/>
    <m/>
    <s v="Delhi Capitals"/>
    <x v="1"/>
    <s v="Win"/>
    <x v="1"/>
    <x v="5"/>
    <x v="40"/>
    <s v="Delhi"/>
  </r>
  <r>
    <n v="1175361"/>
    <n v="2019"/>
    <x v="11"/>
    <d v="2019-03-27T00:00:00"/>
    <s v="Kolkata Knight Riders"/>
    <s v="Kings XI Punjab"/>
    <m/>
    <s v="Kings XI Punjab"/>
    <x v="0"/>
    <s v="Win"/>
    <x v="0"/>
    <x v="165"/>
    <x v="3"/>
    <s v="Kolkata"/>
  </r>
  <r>
    <n v="1175362"/>
    <n v="2019"/>
    <x v="11"/>
    <d v="2019-03-28T00:00:00"/>
    <s v="Mumbai Indians"/>
    <s v="Royal Challengers Bangalore"/>
    <m/>
    <s v="Royal Challengers Bangalore"/>
    <x v="0"/>
    <s v="Win"/>
    <x v="7"/>
    <x v="190"/>
    <x v="36"/>
    <s v="Bengaluru"/>
  </r>
  <r>
    <n v="1175363"/>
    <n v="2019"/>
    <x v="11"/>
    <d v="2019-03-29T00:00:00"/>
    <s v="Rajasthan Royals"/>
    <s v="Sunrisers Hyderabad"/>
    <m/>
    <s v="Rajasthan Royals"/>
    <x v="1"/>
    <s v="Win"/>
    <x v="11"/>
    <x v="188"/>
    <x v="38"/>
    <s v="Hyderabad"/>
  </r>
  <r>
    <n v="1175364"/>
    <n v="2019"/>
    <x v="11"/>
    <d v="2019-03-30T00:00:00"/>
    <s v="Mumbai Indians"/>
    <s v="Kings XI Punjab"/>
    <m/>
    <s v="Kings XI Punjab"/>
    <x v="0"/>
    <s v="Win"/>
    <x v="5"/>
    <x v="164"/>
    <x v="37"/>
    <s v="Chandigarh"/>
  </r>
  <r>
    <n v="1175365"/>
    <n v="2019"/>
    <x v="11"/>
    <d v="2019-03-30T00:00:00"/>
    <s v="Kolkata Knight Riders"/>
    <s v="Delhi Capitals"/>
    <m/>
    <s v="Delhi Capitals"/>
    <x v="0"/>
    <s v="tie"/>
    <x v="8"/>
    <x v="214"/>
    <x v="40"/>
    <s v="Delhi"/>
  </r>
  <r>
    <n v="1175367"/>
    <n v="2019"/>
    <x v="11"/>
    <d v="2019-03-31T00:00:00"/>
    <s v="Chennai Super Kings"/>
    <s v="Rajasthan Royals"/>
    <m/>
    <s v="Rajasthan Royals"/>
    <x v="0"/>
    <s v="Win"/>
    <x v="1"/>
    <x v="13"/>
    <x v="39"/>
    <s v="Chennai"/>
  </r>
  <r>
    <n v="1175366"/>
    <n v="2019"/>
    <x v="11"/>
    <d v="2019-03-31T00:00:00"/>
    <s v="Sunrisers Hyderabad"/>
    <s v="Royal Challengers Bangalore"/>
    <m/>
    <s v="Royal Challengers Bangalore"/>
    <x v="0"/>
    <s v="Win"/>
    <x v="11"/>
    <x v="215"/>
    <x v="38"/>
    <s v="Hyderabad"/>
  </r>
  <r>
    <n v="1175368"/>
    <n v="2019"/>
    <x v="11"/>
    <d v="2019-04-01T00:00:00"/>
    <s v="Kings XI Punjab"/>
    <s v="Delhi Capitals"/>
    <m/>
    <s v="Delhi Capitals"/>
    <x v="0"/>
    <s v="Win"/>
    <x v="5"/>
    <x v="216"/>
    <x v="37"/>
    <s v="Chandigarh"/>
  </r>
  <r>
    <n v="1175369"/>
    <n v="2019"/>
    <x v="11"/>
    <d v="2019-04-02T00:00:00"/>
    <s v="Royal Challengers Bangalore"/>
    <s v="Rajasthan Royals"/>
    <m/>
    <s v="Rajasthan Royals"/>
    <x v="0"/>
    <s v="Win"/>
    <x v="4"/>
    <x v="212"/>
    <x v="5"/>
    <s v="Jaipur"/>
  </r>
  <r>
    <n v="1175370"/>
    <n v="2019"/>
    <x v="11"/>
    <d v="2019-04-03T00:00:00"/>
    <s v="Mumbai Indians"/>
    <s v="Chennai Super Kings"/>
    <m/>
    <s v="Chennai Super Kings"/>
    <x v="0"/>
    <s v="Win"/>
    <x v="7"/>
    <x v="172"/>
    <x v="4"/>
    <s v="Mumbai"/>
  </r>
  <r>
    <n v="1175371"/>
    <n v="2019"/>
    <x v="11"/>
    <d v="2019-04-04T00:00:00"/>
    <s v="Delhi Capitals"/>
    <s v="Sunrisers Hyderabad"/>
    <m/>
    <s v="Sunrisers Hyderabad"/>
    <x v="0"/>
    <s v="Win"/>
    <x v="11"/>
    <x v="215"/>
    <x v="40"/>
    <s v="Delhi"/>
  </r>
  <r>
    <n v="1175372"/>
    <n v="2019"/>
    <x v="11"/>
    <d v="2019-04-05T00:00:00"/>
    <s v="Royal Challengers Bangalore"/>
    <s v="Kolkata Knight Riders"/>
    <m/>
    <s v="Kolkata Knight Riders"/>
    <x v="0"/>
    <s v="Win"/>
    <x v="0"/>
    <x v="165"/>
    <x v="36"/>
    <s v="Bengaluru"/>
  </r>
  <r>
    <n v="1178393"/>
    <n v="2019"/>
    <x v="11"/>
    <d v="2019-04-06T00:00:00"/>
    <s v="Chennai Super Kings"/>
    <s v="Kings XI Punjab"/>
    <m/>
    <s v="Chennai Super Kings"/>
    <x v="1"/>
    <s v="Win"/>
    <x v="1"/>
    <x v="62"/>
    <x v="39"/>
    <s v="Chennai"/>
  </r>
  <r>
    <n v="1178394"/>
    <n v="2019"/>
    <x v="11"/>
    <d v="2019-04-06T00:00:00"/>
    <s v="Mumbai Indians"/>
    <s v="Sunrisers Hyderabad"/>
    <m/>
    <s v="Sunrisers Hyderabad"/>
    <x v="0"/>
    <s v="Win"/>
    <x v="7"/>
    <x v="217"/>
    <x v="38"/>
    <s v="Hyderabad"/>
  </r>
  <r>
    <n v="1178395"/>
    <n v="2019"/>
    <x v="11"/>
    <d v="2019-04-07T00:00:00"/>
    <s v="Royal Challengers Bangalore"/>
    <s v="Delhi Capitals"/>
    <m/>
    <s v="Delhi Capitals"/>
    <x v="0"/>
    <s v="Win"/>
    <x v="15"/>
    <x v="218"/>
    <x v="36"/>
    <s v="Bengaluru"/>
  </r>
  <r>
    <n v="1178396"/>
    <n v="2019"/>
    <x v="11"/>
    <d v="2019-04-07T00:00:00"/>
    <s v="Rajasthan Royals"/>
    <s v="Kolkata Knight Riders"/>
    <m/>
    <s v="Kolkata Knight Riders"/>
    <x v="0"/>
    <s v="Win"/>
    <x v="0"/>
    <x v="219"/>
    <x v="5"/>
    <s v="Jaipur"/>
  </r>
  <r>
    <n v="1178397"/>
    <n v="2019"/>
    <x v="11"/>
    <d v="2019-04-08T00:00:00"/>
    <s v="Sunrisers Hyderabad"/>
    <s v="Kings XI Punjab"/>
    <m/>
    <s v="Kings XI Punjab"/>
    <x v="0"/>
    <s v="Win"/>
    <x v="5"/>
    <x v="202"/>
    <x v="37"/>
    <s v="Chandigarh"/>
  </r>
  <r>
    <n v="1178398"/>
    <n v="2019"/>
    <x v="11"/>
    <d v="2019-04-09T00:00:00"/>
    <s v="Kolkata Knight Riders"/>
    <s v="Chennai Super Kings"/>
    <m/>
    <s v="Chennai Super Kings"/>
    <x v="0"/>
    <s v="Win"/>
    <x v="1"/>
    <x v="220"/>
    <x v="39"/>
    <s v="Chennai"/>
  </r>
  <r>
    <n v="1178399"/>
    <n v="2019"/>
    <x v="11"/>
    <d v="2019-04-10T00:00:00"/>
    <s v="Kings XI Punjab"/>
    <s v="Mumbai Indians"/>
    <m/>
    <s v="Mumbai Indians"/>
    <x v="0"/>
    <s v="Win"/>
    <x v="7"/>
    <x v="91"/>
    <x v="4"/>
    <s v="Mumbai"/>
  </r>
  <r>
    <n v="1178400"/>
    <n v="2019"/>
    <x v="11"/>
    <d v="2019-04-11T00:00:00"/>
    <s v="Rajasthan Royals"/>
    <s v="Chennai Super Kings"/>
    <m/>
    <s v="Chennai Super Kings"/>
    <x v="0"/>
    <s v="Win"/>
    <x v="1"/>
    <x v="13"/>
    <x v="5"/>
    <s v="Jaipur"/>
  </r>
  <r>
    <n v="1178401"/>
    <n v="2019"/>
    <x v="11"/>
    <d v="2019-04-12T00:00:00"/>
    <s v="Kolkata Knight Riders"/>
    <s v="Delhi Capitals"/>
    <m/>
    <s v="Delhi Capitals"/>
    <x v="0"/>
    <s v="Win"/>
    <x v="15"/>
    <x v="115"/>
    <x v="3"/>
    <s v="Kolkata"/>
  </r>
  <r>
    <n v="1178403"/>
    <n v="2019"/>
    <x v="11"/>
    <d v="2019-04-13T00:00:00"/>
    <s v="Kings XI Punjab"/>
    <s v="Royal Challengers Bangalore"/>
    <m/>
    <s v="Royal Challengers Bangalore"/>
    <x v="0"/>
    <s v="Win"/>
    <x v="3"/>
    <x v="46"/>
    <x v="37"/>
    <s v="Chandigarh"/>
  </r>
  <r>
    <n v="1178402"/>
    <n v="2019"/>
    <x v="11"/>
    <d v="2019-04-13T00:00:00"/>
    <s v="Mumbai Indians"/>
    <s v="Rajasthan Royals"/>
    <m/>
    <s v="Rajasthan Royals"/>
    <x v="0"/>
    <s v="Win"/>
    <x v="4"/>
    <x v="194"/>
    <x v="4"/>
    <s v="Mumbai"/>
  </r>
  <r>
    <n v="1178404"/>
    <n v="2019"/>
    <x v="11"/>
    <d v="2019-04-14T00:00:00"/>
    <s v="Kolkata Knight Riders"/>
    <s v="Chennai Super Kings"/>
    <m/>
    <s v="Chennai Super Kings"/>
    <x v="0"/>
    <s v="Win"/>
    <x v="1"/>
    <x v="221"/>
    <x v="3"/>
    <s v="Kolkata"/>
  </r>
  <r>
    <n v="1178405"/>
    <n v="2019"/>
    <x v="11"/>
    <d v="2019-04-14T00:00:00"/>
    <s v="Delhi Capitals"/>
    <s v="Sunrisers Hyderabad"/>
    <m/>
    <s v="Sunrisers Hyderabad"/>
    <x v="0"/>
    <s v="Win"/>
    <x v="15"/>
    <x v="222"/>
    <x v="38"/>
    <s v="Hyderabad"/>
  </r>
  <r>
    <n v="1178406"/>
    <n v="2019"/>
    <x v="11"/>
    <d v="2019-04-15T00:00:00"/>
    <s v="Royal Challengers Bangalore"/>
    <s v="Mumbai Indians"/>
    <m/>
    <s v="Mumbai Indians"/>
    <x v="0"/>
    <s v="Win"/>
    <x v="7"/>
    <x v="80"/>
    <x v="4"/>
    <s v="Mumbai"/>
  </r>
  <r>
    <n v="1178407"/>
    <n v="2019"/>
    <x v="11"/>
    <d v="2019-04-16T00:00:00"/>
    <s v="Kings XI Punjab"/>
    <s v="Rajasthan Royals"/>
    <m/>
    <s v="Rajasthan Royals"/>
    <x v="0"/>
    <s v="Win"/>
    <x v="5"/>
    <x v="90"/>
    <x v="37"/>
    <s v="Chandigarh"/>
  </r>
  <r>
    <n v="1178408"/>
    <n v="2019"/>
    <x v="11"/>
    <d v="2019-04-17T00:00:00"/>
    <s v="Chennai Super Kings"/>
    <s v="Sunrisers Hyderabad"/>
    <m/>
    <s v="Chennai Super Kings"/>
    <x v="1"/>
    <s v="Win"/>
    <x v="11"/>
    <x v="79"/>
    <x v="38"/>
    <s v="Hyderabad"/>
  </r>
  <r>
    <n v="1178409"/>
    <n v="2019"/>
    <x v="11"/>
    <d v="2019-04-18T00:00:00"/>
    <s v="Mumbai Indians"/>
    <s v="Delhi Capitals"/>
    <m/>
    <s v="Mumbai Indians"/>
    <x v="1"/>
    <s v="Win"/>
    <x v="7"/>
    <x v="172"/>
    <x v="40"/>
    <s v="Delhi"/>
  </r>
  <r>
    <n v="1178410"/>
    <n v="2019"/>
    <x v="11"/>
    <d v="2019-04-19T00:00:00"/>
    <s v="Royal Challengers Bangalore"/>
    <s v="Kolkata Knight Riders"/>
    <m/>
    <s v="Kolkata Knight Riders"/>
    <x v="0"/>
    <s v="Win"/>
    <x v="3"/>
    <x v="104"/>
    <x v="3"/>
    <s v="Kolkata"/>
  </r>
  <r>
    <n v="1178412"/>
    <n v="2019"/>
    <x v="11"/>
    <d v="2019-04-20T00:00:00"/>
    <s v="Kings XI Punjab"/>
    <s v="Delhi Capitals"/>
    <m/>
    <s v="Delhi Capitals"/>
    <x v="0"/>
    <s v="Win"/>
    <x v="15"/>
    <x v="166"/>
    <x v="40"/>
    <s v="Delhi"/>
  </r>
  <r>
    <n v="1178411"/>
    <n v="2019"/>
    <x v="11"/>
    <d v="2019-04-20T00:00:00"/>
    <s v="Mumbai Indians"/>
    <s v="Rajasthan Royals"/>
    <m/>
    <s v="Rajasthan Royals"/>
    <x v="0"/>
    <s v="Win"/>
    <x v="4"/>
    <x v="119"/>
    <x v="5"/>
    <s v="Jaipur"/>
  </r>
  <r>
    <n v="1178413"/>
    <n v="2019"/>
    <x v="11"/>
    <d v="2019-04-21T00:00:00"/>
    <s v="Kolkata Knight Riders"/>
    <s v="Sunrisers Hyderabad"/>
    <m/>
    <s v="Sunrisers Hyderabad"/>
    <x v="0"/>
    <s v="Win"/>
    <x v="11"/>
    <x v="223"/>
    <x v="38"/>
    <s v="Hyderabad"/>
  </r>
  <r>
    <n v="1178414"/>
    <n v="2019"/>
    <x v="11"/>
    <d v="2019-04-21T00:00:00"/>
    <s v="Royal Challengers Bangalore"/>
    <s v="Chennai Super Kings"/>
    <m/>
    <s v="Chennai Super Kings"/>
    <x v="0"/>
    <s v="Win"/>
    <x v="3"/>
    <x v="148"/>
    <x v="36"/>
    <s v="Bengaluru"/>
  </r>
  <r>
    <n v="1178415"/>
    <n v="2019"/>
    <x v="11"/>
    <d v="2019-04-22T00:00:00"/>
    <s v="Rajasthan Royals"/>
    <s v="Delhi Capitals"/>
    <m/>
    <s v="Delhi Capitals"/>
    <x v="0"/>
    <s v="Win"/>
    <x v="15"/>
    <x v="182"/>
    <x v="5"/>
    <s v="Jaipur"/>
  </r>
  <r>
    <n v="1178416"/>
    <n v="2019"/>
    <x v="11"/>
    <d v="2019-04-23T00:00:00"/>
    <s v="Sunrisers Hyderabad"/>
    <s v="Chennai Super Kings"/>
    <m/>
    <s v="Chennai Super Kings"/>
    <x v="0"/>
    <s v="Win"/>
    <x v="1"/>
    <x v="5"/>
    <x v="39"/>
    <s v="Chennai"/>
  </r>
  <r>
    <n v="1178417"/>
    <n v="2019"/>
    <x v="11"/>
    <d v="2019-04-24T00:00:00"/>
    <s v="Royal Challengers Bangalore"/>
    <s v="Kings XI Punjab"/>
    <m/>
    <s v="Kings XI Punjab"/>
    <x v="0"/>
    <s v="Win"/>
    <x v="3"/>
    <x v="46"/>
    <x v="36"/>
    <s v="Bengaluru"/>
  </r>
  <r>
    <n v="1178418"/>
    <n v="2019"/>
    <x v="11"/>
    <d v="2019-04-25T00:00:00"/>
    <s v="Kolkata Knight Riders"/>
    <s v="Rajasthan Royals"/>
    <m/>
    <s v="Rajasthan Royals"/>
    <x v="0"/>
    <s v="Win"/>
    <x v="4"/>
    <x v="168"/>
    <x v="3"/>
    <s v="Kolkata"/>
  </r>
  <r>
    <n v="1178419"/>
    <n v="2019"/>
    <x v="11"/>
    <d v="2019-04-26T00:00:00"/>
    <s v="Mumbai Indians"/>
    <s v="Chennai Super Kings"/>
    <m/>
    <s v="Chennai Super Kings"/>
    <x v="0"/>
    <s v="Win"/>
    <x v="7"/>
    <x v="57"/>
    <x v="39"/>
    <s v="Chennai"/>
  </r>
  <r>
    <n v="1178420"/>
    <n v="2019"/>
    <x v="11"/>
    <d v="2019-04-27T00:00:00"/>
    <s v="Sunrisers Hyderabad"/>
    <s v="Rajasthan Royals"/>
    <m/>
    <s v="Rajasthan Royals"/>
    <x v="0"/>
    <s v="Win"/>
    <x v="4"/>
    <x v="92"/>
    <x v="5"/>
    <s v="Jaipur"/>
  </r>
  <r>
    <n v="1178421"/>
    <n v="2019"/>
    <x v="11"/>
    <d v="2019-04-28T00:00:00"/>
    <s v="Delhi Capitals"/>
    <s v="Royal Challengers Bangalore"/>
    <m/>
    <s v="Delhi Capitals"/>
    <x v="1"/>
    <s v="Win"/>
    <x v="15"/>
    <x v="115"/>
    <x v="40"/>
    <s v="Delhi"/>
  </r>
  <r>
    <n v="1178422"/>
    <n v="2019"/>
    <x v="11"/>
    <d v="2019-04-28T00:00:00"/>
    <s v="Kolkata Knight Riders"/>
    <s v="Mumbai Indians"/>
    <m/>
    <s v="Mumbai Indians"/>
    <x v="0"/>
    <s v="Win"/>
    <x v="0"/>
    <x v="165"/>
    <x v="3"/>
    <s v="Kolkata"/>
  </r>
  <r>
    <n v="1178423"/>
    <n v="2019"/>
    <x v="11"/>
    <d v="2019-04-29T00:00:00"/>
    <s v="Sunrisers Hyderabad"/>
    <s v="Kings XI Punjab"/>
    <m/>
    <s v="Kings XI Punjab"/>
    <x v="0"/>
    <s v="Win"/>
    <x v="11"/>
    <x v="79"/>
    <x v="38"/>
    <s v="Hyderabad"/>
  </r>
  <r>
    <n v="1178424"/>
    <n v="2019"/>
    <x v="11"/>
    <d v="2019-04-30T00:00:00"/>
    <s v="Royal Challengers Bangalore"/>
    <s v="Rajasthan Royals"/>
    <m/>
    <s v="Rajasthan Royals"/>
    <x v="0"/>
    <s v="no result"/>
    <x v="8"/>
    <x v="114"/>
    <x v="36"/>
    <s v="Bengaluru"/>
  </r>
  <r>
    <n v="1178425"/>
    <n v="2019"/>
    <x v="11"/>
    <d v="2019-05-01T00:00:00"/>
    <s v="Chennai Super Kings"/>
    <s v="Delhi Capitals"/>
    <m/>
    <s v="Delhi Capitals"/>
    <x v="0"/>
    <s v="Win"/>
    <x v="1"/>
    <x v="13"/>
    <x v="39"/>
    <s v="Chennai"/>
  </r>
  <r>
    <n v="1178426"/>
    <n v="2019"/>
    <x v="11"/>
    <d v="2019-05-02T00:00:00"/>
    <s v="Mumbai Indians"/>
    <s v="Sunrisers Hyderabad"/>
    <m/>
    <s v="Mumbai Indians"/>
    <x v="1"/>
    <s v="tie"/>
    <x v="8"/>
    <x v="190"/>
    <x v="4"/>
    <s v="Mumbai"/>
  </r>
  <r>
    <n v="1178427"/>
    <n v="2019"/>
    <x v="11"/>
    <d v="2019-05-03T00:00:00"/>
    <s v="Kings XI Punjab"/>
    <s v="Kolkata Knight Riders"/>
    <m/>
    <s v="Kolkata Knight Riders"/>
    <x v="0"/>
    <s v="Win"/>
    <x v="0"/>
    <x v="224"/>
    <x v="37"/>
    <s v="Chandigarh"/>
  </r>
  <r>
    <n v="1178429"/>
    <n v="2019"/>
    <x v="11"/>
    <d v="2019-05-04T00:00:00"/>
    <s v="Sunrisers Hyderabad"/>
    <s v="Royal Challengers Bangalore"/>
    <m/>
    <s v="Royal Challengers Bangalore"/>
    <x v="0"/>
    <s v="Win"/>
    <x v="3"/>
    <x v="225"/>
    <x v="36"/>
    <s v="Bengaluru"/>
  </r>
  <r>
    <n v="1178428"/>
    <n v="2019"/>
    <x v="11"/>
    <d v="2019-05-04T00:00:00"/>
    <s v="Rajasthan Royals"/>
    <s v="Delhi Capitals"/>
    <m/>
    <s v="Rajasthan Royals"/>
    <x v="1"/>
    <s v="Win"/>
    <x v="15"/>
    <x v="27"/>
    <x v="40"/>
    <s v="Delhi"/>
  </r>
  <r>
    <n v="1178431"/>
    <n v="2019"/>
    <x v="11"/>
    <d v="2019-05-05T00:00:00"/>
    <s v="Kolkata Knight Riders"/>
    <s v="Mumbai Indians"/>
    <m/>
    <s v="Mumbai Indians"/>
    <x v="0"/>
    <s v="Win"/>
    <x v="7"/>
    <x v="172"/>
    <x v="4"/>
    <s v="Mumbai"/>
  </r>
  <r>
    <n v="1178430"/>
    <n v="2019"/>
    <x v="11"/>
    <d v="2019-05-05T00:00:00"/>
    <s v="Chennai Super Kings"/>
    <s v="Kings XI Punjab"/>
    <m/>
    <s v="Kings XI Punjab"/>
    <x v="0"/>
    <s v="Win"/>
    <x v="5"/>
    <x v="202"/>
    <x v="37"/>
    <s v="Chandigarh"/>
  </r>
  <r>
    <n v="1181764"/>
    <n v="2019"/>
    <x v="11"/>
    <d v="2019-05-07T00:00:00"/>
    <s v="Chennai Super Kings"/>
    <s v="Mumbai Indians"/>
    <m/>
    <s v="Chennai Super Kings"/>
    <x v="1"/>
    <s v="Win"/>
    <x v="7"/>
    <x v="178"/>
    <x v="39"/>
    <s v="Chennai"/>
  </r>
  <r>
    <n v="1181766"/>
    <n v="2019"/>
    <x v="11"/>
    <d v="2019-05-08T00:00:00"/>
    <s v="Sunrisers Hyderabad"/>
    <s v="Delhi Capitals"/>
    <m/>
    <s v="Delhi Capitals"/>
    <x v="0"/>
    <s v="Win"/>
    <x v="15"/>
    <x v="182"/>
    <x v="25"/>
    <s v="Visakhapatnam"/>
  </r>
  <r>
    <n v="1181767"/>
    <n v="2019"/>
    <x v="11"/>
    <d v="2019-05-10T00:00:00"/>
    <s v="Delhi Capitals"/>
    <s v="Chennai Super Kings"/>
    <m/>
    <s v="Chennai Super Kings"/>
    <x v="0"/>
    <s v="Win"/>
    <x v="1"/>
    <x v="124"/>
    <x v="25"/>
    <s v="Visakhapatnam"/>
  </r>
  <r>
    <n v="1181768"/>
    <n v="2019"/>
    <x v="11"/>
    <d v="2019-05-12T00:00:00"/>
    <s v="Mumbai Indians"/>
    <s v="Chennai Super Kings"/>
    <m/>
    <s v="Mumbai Indians"/>
    <x v="1"/>
    <s v="Win"/>
    <x v="7"/>
    <x v="190"/>
    <x v="38"/>
    <s v="Hyderabad"/>
  </r>
  <r>
    <n v="1216492"/>
    <n v="2020"/>
    <x v="12"/>
    <d v="2020-09-19T00:00:00"/>
    <s v="Mumbai Indians"/>
    <s v="Chennai Super Kings"/>
    <m/>
    <s v="Chennai Super Kings"/>
    <x v="0"/>
    <s v="Win"/>
    <x v="1"/>
    <x v="83"/>
    <x v="30"/>
    <s v="Abu Dhabi"/>
  </r>
  <r>
    <n v="1216493"/>
    <n v="2020"/>
    <x v="12"/>
    <d v="2020-09-20T00:00:00"/>
    <s v="Delhi Capitals"/>
    <s v="Kings XI Punjab"/>
    <m/>
    <s v="Kings XI Punjab"/>
    <x v="0"/>
    <s v="tie"/>
    <x v="8"/>
    <x v="183"/>
    <x v="32"/>
    <s v="NA"/>
  </r>
  <r>
    <n v="1216534"/>
    <n v="2020"/>
    <x v="12"/>
    <d v="2020-09-21T00:00:00"/>
    <s v="Royal Challengers Bangalore"/>
    <s v="Sunrisers Hyderabad"/>
    <m/>
    <s v="Sunrisers Hyderabad"/>
    <x v="0"/>
    <s v="Win"/>
    <x v="3"/>
    <x v="151"/>
    <x v="32"/>
    <s v="NA"/>
  </r>
  <r>
    <n v="1216496"/>
    <n v="2020"/>
    <x v="12"/>
    <d v="2020-09-22T00:00:00"/>
    <s v="Rajasthan Royals"/>
    <s v="Chennai Super Kings"/>
    <m/>
    <s v="Chennai Super Kings"/>
    <x v="0"/>
    <s v="Win"/>
    <x v="4"/>
    <x v="144"/>
    <x v="31"/>
    <s v="NA"/>
  </r>
  <r>
    <n v="1216508"/>
    <n v="2020"/>
    <x v="12"/>
    <d v="2020-09-23T00:00:00"/>
    <s v="Mumbai Indians"/>
    <s v="Kolkata Knight Riders"/>
    <m/>
    <s v="Kolkata Knight Riders"/>
    <x v="0"/>
    <s v="Win"/>
    <x v="7"/>
    <x v="57"/>
    <x v="30"/>
    <s v="Abu Dhabi"/>
  </r>
  <r>
    <n v="1216510"/>
    <n v="2020"/>
    <x v="12"/>
    <d v="2020-09-24T00:00:00"/>
    <s v="Kings XI Punjab"/>
    <s v="Royal Challengers Bangalore"/>
    <m/>
    <s v="Royal Challengers Bangalore"/>
    <x v="0"/>
    <s v="Win"/>
    <x v="5"/>
    <x v="202"/>
    <x v="32"/>
    <s v="NA"/>
  </r>
  <r>
    <n v="1216539"/>
    <n v="2020"/>
    <x v="12"/>
    <d v="2020-09-25T00:00:00"/>
    <s v="Delhi Capitals"/>
    <s v="Chennai Super Kings"/>
    <m/>
    <s v="Chennai Super Kings"/>
    <x v="0"/>
    <s v="Win"/>
    <x v="15"/>
    <x v="214"/>
    <x v="32"/>
    <s v="NA"/>
  </r>
  <r>
    <n v="1216545"/>
    <n v="2020"/>
    <x v="12"/>
    <d v="2020-09-26T00:00:00"/>
    <s v="Sunrisers Hyderabad"/>
    <s v="Kolkata Knight Riders"/>
    <m/>
    <s v="Sunrisers Hyderabad"/>
    <x v="1"/>
    <s v="Win"/>
    <x v="0"/>
    <x v="224"/>
    <x v="30"/>
    <s v="Abu Dhabi"/>
  </r>
  <r>
    <n v="1216527"/>
    <n v="2020"/>
    <x v="12"/>
    <d v="2020-09-27T00:00:00"/>
    <s v="Kings XI Punjab"/>
    <s v="Rajasthan Royals"/>
    <m/>
    <s v="Rajasthan Royals"/>
    <x v="0"/>
    <s v="Win"/>
    <x v="4"/>
    <x v="144"/>
    <x v="31"/>
    <s v="NA"/>
  </r>
  <r>
    <n v="1216547"/>
    <n v="2020"/>
    <x v="12"/>
    <d v="2020-09-28T00:00:00"/>
    <s v="Royal Challengers Bangalore"/>
    <s v="Mumbai Indians"/>
    <m/>
    <s v="Mumbai Indians"/>
    <x v="0"/>
    <s v="tie"/>
    <x v="8"/>
    <x v="46"/>
    <x v="32"/>
    <s v="NA"/>
  </r>
  <r>
    <n v="1216532"/>
    <n v="2020"/>
    <x v="12"/>
    <d v="2020-09-29T00:00:00"/>
    <s v="Sunrisers Hyderabad"/>
    <s v="Delhi Capitals"/>
    <m/>
    <s v="Delhi Capitals"/>
    <x v="0"/>
    <s v="Win"/>
    <x v="11"/>
    <x v="188"/>
    <x v="30"/>
    <s v="Abu Dhabi"/>
  </r>
  <r>
    <n v="1216504"/>
    <n v="2020"/>
    <x v="12"/>
    <d v="2020-09-30T00:00:00"/>
    <s v="Kolkata Knight Riders"/>
    <s v="Rajasthan Royals"/>
    <m/>
    <s v="Rajasthan Royals"/>
    <x v="0"/>
    <s v="Win"/>
    <x v="0"/>
    <x v="226"/>
    <x v="32"/>
    <s v="NA"/>
  </r>
  <r>
    <n v="1216503"/>
    <n v="2020"/>
    <x v="12"/>
    <d v="2020-10-01T00:00:00"/>
    <s v="Mumbai Indians"/>
    <s v="Kings XI Punjab"/>
    <m/>
    <s v="Kings XI Punjab"/>
    <x v="0"/>
    <s v="Win"/>
    <x v="7"/>
    <x v="91"/>
    <x v="30"/>
    <s v="Abu Dhabi"/>
  </r>
  <r>
    <n v="1216516"/>
    <n v="2020"/>
    <x v="12"/>
    <d v="2020-10-02T00:00:00"/>
    <s v="Sunrisers Hyderabad"/>
    <s v="Chennai Super Kings"/>
    <m/>
    <s v="Sunrisers Hyderabad"/>
    <x v="1"/>
    <s v="Win"/>
    <x v="11"/>
    <x v="227"/>
    <x v="32"/>
    <s v="NA"/>
  </r>
  <r>
    <n v="1216515"/>
    <n v="2020"/>
    <x v="12"/>
    <d v="2020-10-03T00:00:00"/>
    <s v="Delhi Capitals"/>
    <s v="Kolkata Knight Riders"/>
    <m/>
    <s v="Kolkata Knight Riders"/>
    <x v="0"/>
    <s v="Win"/>
    <x v="15"/>
    <x v="166"/>
    <x v="31"/>
    <s v="NA"/>
  </r>
  <r>
    <n v="1216514"/>
    <n v="2020"/>
    <x v="12"/>
    <d v="2020-10-03T00:00:00"/>
    <s v="Rajasthan Royals"/>
    <s v="Royal Challengers Bangalore"/>
    <m/>
    <s v="Rajasthan Royals"/>
    <x v="1"/>
    <s v="Win"/>
    <x v="3"/>
    <x v="151"/>
    <x v="30"/>
    <s v="Abu Dhabi"/>
  </r>
  <r>
    <n v="1216538"/>
    <n v="2020"/>
    <x v="12"/>
    <d v="2020-10-04T00:00:00"/>
    <s v="Mumbai Indians"/>
    <s v="Sunrisers Hyderabad"/>
    <m/>
    <s v="Mumbai Indians"/>
    <x v="1"/>
    <s v="Win"/>
    <x v="7"/>
    <x v="169"/>
    <x v="31"/>
    <s v="NA"/>
  </r>
  <r>
    <n v="1216513"/>
    <n v="2020"/>
    <x v="12"/>
    <d v="2020-10-04T00:00:00"/>
    <s v="Kings XI Punjab"/>
    <s v="Chennai Super Kings"/>
    <m/>
    <s v="Kings XI Punjab"/>
    <x v="1"/>
    <s v="Win"/>
    <x v="1"/>
    <x v="5"/>
    <x v="32"/>
    <s v="NA"/>
  </r>
  <r>
    <n v="1216519"/>
    <n v="2020"/>
    <x v="12"/>
    <d v="2020-10-05T00:00:00"/>
    <s v="Delhi Capitals"/>
    <s v="Royal Challengers Bangalore"/>
    <m/>
    <s v="Royal Challengers Bangalore"/>
    <x v="0"/>
    <s v="Win"/>
    <x v="15"/>
    <x v="160"/>
    <x v="32"/>
    <s v="NA"/>
  </r>
  <r>
    <n v="1216511"/>
    <n v="2020"/>
    <x v="12"/>
    <d v="2020-10-06T00:00:00"/>
    <s v="Mumbai Indians"/>
    <s v="Rajasthan Royals"/>
    <m/>
    <s v="Mumbai Indians"/>
    <x v="1"/>
    <s v="Win"/>
    <x v="7"/>
    <x v="178"/>
    <x v="30"/>
    <s v="Abu Dhabi"/>
  </r>
  <r>
    <n v="1216501"/>
    <n v="2020"/>
    <x v="12"/>
    <d v="2020-10-07T00:00:00"/>
    <s v="Kolkata Knight Riders"/>
    <s v="Chennai Super Kings"/>
    <m/>
    <s v="Kolkata Knight Riders"/>
    <x v="1"/>
    <s v="Win"/>
    <x v="0"/>
    <x v="197"/>
    <x v="30"/>
    <s v="Abu Dhabi"/>
  </r>
  <r>
    <n v="1216542"/>
    <n v="2020"/>
    <x v="12"/>
    <d v="2020-10-08T00:00:00"/>
    <s v="Sunrisers Hyderabad"/>
    <s v="Kings XI Punjab"/>
    <m/>
    <s v="Sunrisers Hyderabad"/>
    <x v="1"/>
    <s v="Win"/>
    <x v="11"/>
    <x v="215"/>
    <x v="32"/>
    <s v="NA"/>
  </r>
  <r>
    <n v="1216500"/>
    <n v="2020"/>
    <x v="12"/>
    <d v="2020-10-09T00:00:00"/>
    <s v="Delhi Capitals"/>
    <s v="Rajasthan Royals"/>
    <m/>
    <s v="Rajasthan Royals"/>
    <x v="0"/>
    <s v="Win"/>
    <x v="15"/>
    <x v="90"/>
    <x v="31"/>
    <s v="NA"/>
  </r>
  <r>
    <n v="1216523"/>
    <n v="2020"/>
    <x v="12"/>
    <d v="2020-10-10T00:00:00"/>
    <s v="Kolkata Knight Riders"/>
    <s v="Kings XI Punjab"/>
    <m/>
    <s v="Kolkata Knight Riders"/>
    <x v="1"/>
    <s v="Win"/>
    <x v="0"/>
    <x v="35"/>
    <x v="30"/>
    <s v="Abu Dhabi"/>
  </r>
  <r>
    <n v="1216525"/>
    <n v="2020"/>
    <x v="12"/>
    <d v="2020-10-10T00:00:00"/>
    <s v="Royal Challengers Bangalore"/>
    <s v="Chennai Super Kings"/>
    <m/>
    <s v="Royal Challengers Bangalore"/>
    <x v="1"/>
    <s v="Win"/>
    <x v="3"/>
    <x v="104"/>
    <x v="32"/>
    <s v="NA"/>
  </r>
  <r>
    <n v="1216507"/>
    <n v="2020"/>
    <x v="12"/>
    <d v="2020-10-11T00:00:00"/>
    <s v="Sunrisers Hyderabad"/>
    <s v="Rajasthan Royals"/>
    <m/>
    <s v="Sunrisers Hyderabad"/>
    <x v="1"/>
    <s v="Win"/>
    <x v="4"/>
    <x v="228"/>
    <x v="32"/>
    <s v="NA"/>
  </r>
  <r>
    <n v="1216529"/>
    <n v="2020"/>
    <x v="12"/>
    <d v="2020-10-11T00:00:00"/>
    <s v="Delhi Capitals"/>
    <s v="Mumbai Indians"/>
    <m/>
    <s v="Delhi Capitals"/>
    <x v="1"/>
    <s v="Win"/>
    <x v="7"/>
    <x v="176"/>
    <x v="30"/>
    <s v="Abu Dhabi"/>
  </r>
  <r>
    <n v="1216540"/>
    <n v="2020"/>
    <x v="12"/>
    <d v="2020-10-12T00:00:00"/>
    <s v="Royal Challengers Bangalore"/>
    <s v="Kolkata Knight Riders"/>
    <m/>
    <s v="Royal Challengers Bangalore"/>
    <x v="1"/>
    <s v="Win"/>
    <x v="3"/>
    <x v="46"/>
    <x v="31"/>
    <s v="NA"/>
  </r>
  <r>
    <n v="1216528"/>
    <n v="2020"/>
    <x v="12"/>
    <d v="2020-10-13T00:00:00"/>
    <s v="Chennai Super Kings"/>
    <s v="Sunrisers Hyderabad"/>
    <m/>
    <s v="Chennai Super Kings"/>
    <x v="1"/>
    <s v="Win"/>
    <x v="1"/>
    <x v="120"/>
    <x v="32"/>
    <s v="NA"/>
  </r>
  <r>
    <n v="1216543"/>
    <n v="2020"/>
    <x v="12"/>
    <d v="2020-10-14T00:00:00"/>
    <s v="Delhi Capitals"/>
    <s v="Rajasthan Royals"/>
    <m/>
    <s v="Delhi Capitals"/>
    <x v="1"/>
    <s v="Win"/>
    <x v="15"/>
    <x v="229"/>
    <x v="32"/>
    <s v="NA"/>
  </r>
  <r>
    <n v="1216531"/>
    <n v="2020"/>
    <x v="12"/>
    <d v="2020-10-15T00:00:00"/>
    <s v="Royal Challengers Bangalore"/>
    <s v="Kings XI Punjab"/>
    <m/>
    <s v="Royal Challengers Bangalore"/>
    <x v="1"/>
    <s v="Win"/>
    <x v="5"/>
    <x v="202"/>
    <x v="31"/>
    <s v="NA"/>
  </r>
  <r>
    <n v="1216526"/>
    <n v="2020"/>
    <x v="12"/>
    <d v="2020-10-16T00:00:00"/>
    <s v="Kolkata Knight Riders"/>
    <s v="Mumbai Indians"/>
    <m/>
    <s v="Kolkata Knight Riders"/>
    <x v="1"/>
    <s v="Win"/>
    <x v="7"/>
    <x v="176"/>
    <x v="30"/>
    <s v="Abu Dhabi"/>
  </r>
  <r>
    <n v="1216522"/>
    <n v="2020"/>
    <x v="12"/>
    <d v="2020-10-17T00:00:00"/>
    <s v="Rajasthan Royals"/>
    <s v="Royal Challengers Bangalore"/>
    <m/>
    <s v="Rajasthan Royals"/>
    <x v="1"/>
    <s v="Win"/>
    <x v="3"/>
    <x v="46"/>
    <x v="32"/>
    <s v="NA"/>
  </r>
  <r>
    <n v="1216509"/>
    <n v="2020"/>
    <x v="12"/>
    <d v="2020-10-17T00:00:00"/>
    <s v="Chennai Super Kings"/>
    <s v="Delhi Capitals"/>
    <m/>
    <s v="Chennai Super Kings"/>
    <x v="1"/>
    <s v="Win"/>
    <x v="15"/>
    <x v="115"/>
    <x v="31"/>
    <s v="NA"/>
  </r>
  <r>
    <n v="1216512"/>
    <n v="2020"/>
    <x v="12"/>
    <d v="2020-10-18T00:00:00"/>
    <s v="Kolkata Knight Riders"/>
    <s v="Sunrisers Hyderabad"/>
    <m/>
    <s v="Sunrisers Hyderabad"/>
    <x v="0"/>
    <s v="tie"/>
    <x v="8"/>
    <x v="195"/>
    <x v="30"/>
    <s v="Abu Dhabi"/>
  </r>
  <r>
    <n v="1216517"/>
    <n v="2020"/>
    <x v="12"/>
    <d v="2020-10-18T00:00:00"/>
    <s v="Mumbai Indians"/>
    <s v="Kings XI Punjab"/>
    <m/>
    <s v="Mumbai Indians"/>
    <x v="1"/>
    <s v="tie"/>
    <x v="8"/>
    <x v="202"/>
    <x v="32"/>
    <s v="NA"/>
  </r>
  <r>
    <n v="1216533"/>
    <n v="2020"/>
    <x v="12"/>
    <d v="2020-10-19T00:00:00"/>
    <s v="Chennai Super Kings"/>
    <s v="Rajasthan Royals"/>
    <m/>
    <s v="Chennai Super Kings"/>
    <x v="1"/>
    <s v="Win"/>
    <x v="4"/>
    <x v="194"/>
    <x v="30"/>
    <s v="Abu Dhabi"/>
  </r>
  <r>
    <n v="1216546"/>
    <n v="2020"/>
    <x v="12"/>
    <d v="2020-10-20T00:00:00"/>
    <s v="Delhi Capitals"/>
    <s v="Kings XI Punjab"/>
    <m/>
    <s v="Delhi Capitals"/>
    <x v="1"/>
    <s v="Win"/>
    <x v="5"/>
    <x v="115"/>
    <x v="32"/>
    <s v="NA"/>
  </r>
  <r>
    <n v="1216494"/>
    <n v="2020"/>
    <x v="12"/>
    <d v="2020-10-21T00:00:00"/>
    <s v="Kolkata Knight Riders"/>
    <s v="Royal Challengers Bangalore"/>
    <m/>
    <s v="Kolkata Knight Riders"/>
    <x v="1"/>
    <s v="Win"/>
    <x v="3"/>
    <x v="198"/>
    <x v="30"/>
    <s v="Abu Dhabi"/>
  </r>
  <r>
    <n v="1216518"/>
    <n v="2020"/>
    <x v="12"/>
    <d v="2020-10-22T00:00:00"/>
    <s v="Rajasthan Royals"/>
    <s v="Sunrisers Hyderabad"/>
    <m/>
    <s v="Sunrisers Hyderabad"/>
    <x v="0"/>
    <s v="Win"/>
    <x v="11"/>
    <x v="68"/>
    <x v="32"/>
    <s v="NA"/>
  </r>
  <r>
    <n v="1216521"/>
    <n v="2020"/>
    <x v="12"/>
    <d v="2020-10-23T00:00:00"/>
    <s v="Chennai Super Kings"/>
    <s v="Mumbai Indians"/>
    <m/>
    <s v="Mumbai Indians"/>
    <x v="0"/>
    <s v="Win"/>
    <x v="7"/>
    <x v="169"/>
    <x v="31"/>
    <s v="NA"/>
  </r>
  <r>
    <n v="1216497"/>
    <n v="2020"/>
    <x v="12"/>
    <d v="2020-10-24T00:00:00"/>
    <s v="Kolkata Knight Riders"/>
    <s v="Delhi Capitals"/>
    <m/>
    <s v="Delhi Capitals"/>
    <x v="0"/>
    <s v="Win"/>
    <x v="0"/>
    <x v="230"/>
    <x v="30"/>
    <s v="Abu Dhabi"/>
  </r>
  <r>
    <n v="1216498"/>
    <n v="2020"/>
    <x v="12"/>
    <d v="2020-10-24T00:00:00"/>
    <s v="Kings XI Punjab"/>
    <s v="Sunrisers Hyderabad"/>
    <m/>
    <s v="Sunrisers Hyderabad"/>
    <x v="0"/>
    <s v="Win"/>
    <x v="5"/>
    <x v="231"/>
    <x v="32"/>
    <s v="NA"/>
  </r>
  <r>
    <n v="1216541"/>
    <n v="2020"/>
    <x v="12"/>
    <d v="2020-10-25T00:00:00"/>
    <s v="Mumbai Indians"/>
    <s v="Rajasthan Royals"/>
    <m/>
    <s v="Mumbai Indians"/>
    <x v="1"/>
    <s v="Win"/>
    <x v="4"/>
    <x v="192"/>
    <x v="30"/>
    <s v="Abu Dhabi"/>
  </r>
  <r>
    <n v="1216544"/>
    <n v="2020"/>
    <x v="12"/>
    <d v="2020-10-25T00:00:00"/>
    <s v="Royal Challengers Bangalore"/>
    <s v="Chennai Super Kings"/>
    <m/>
    <s v="Royal Challengers Bangalore"/>
    <x v="1"/>
    <s v="Win"/>
    <x v="1"/>
    <x v="232"/>
    <x v="32"/>
    <s v="NA"/>
  </r>
  <r>
    <n v="1216520"/>
    <n v="2020"/>
    <x v="12"/>
    <d v="2020-10-26T00:00:00"/>
    <s v="Kolkata Knight Riders"/>
    <s v="Kings XI Punjab"/>
    <m/>
    <s v="Kings XI Punjab"/>
    <x v="0"/>
    <s v="Win"/>
    <x v="5"/>
    <x v="45"/>
    <x v="31"/>
    <s v="NA"/>
  </r>
  <r>
    <n v="1216524"/>
    <n v="2020"/>
    <x v="12"/>
    <d v="2020-10-27T00:00:00"/>
    <s v="Sunrisers Hyderabad"/>
    <s v="Delhi Capitals"/>
    <m/>
    <s v="Delhi Capitals"/>
    <x v="0"/>
    <s v="Win"/>
    <x v="11"/>
    <x v="113"/>
    <x v="32"/>
    <s v="NA"/>
  </r>
  <r>
    <n v="1216499"/>
    <n v="2020"/>
    <x v="12"/>
    <d v="2020-10-28T00:00:00"/>
    <s v="Royal Challengers Bangalore"/>
    <s v="Mumbai Indians"/>
    <m/>
    <s v="Mumbai Indians"/>
    <x v="0"/>
    <s v="Win"/>
    <x v="7"/>
    <x v="178"/>
    <x v="30"/>
    <s v="Abu Dhabi"/>
  </r>
  <r>
    <n v="1216536"/>
    <n v="2020"/>
    <x v="12"/>
    <d v="2020-10-29T00:00:00"/>
    <s v="Kolkata Knight Riders"/>
    <s v="Chennai Super Kings"/>
    <m/>
    <s v="Chennai Super Kings"/>
    <x v="0"/>
    <s v="Win"/>
    <x v="1"/>
    <x v="232"/>
    <x v="32"/>
    <s v="NA"/>
  </r>
  <r>
    <n v="1216537"/>
    <n v="2020"/>
    <x v="12"/>
    <d v="2020-10-30T00:00:00"/>
    <s v="Kings XI Punjab"/>
    <s v="Rajasthan Royals"/>
    <m/>
    <s v="Rajasthan Royals"/>
    <x v="0"/>
    <s v="Win"/>
    <x v="4"/>
    <x v="192"/>
    <x v="30"/>
    <s v="Abu Dhabi"/>
  </r>
  <r>
    <n v="1216502"/>
    <n v="2020"/>
    <x v="12"/>
    <d v="2020-10-31T00:00:00"/>
    <s v="Royal Challengers Bangalore"/>
    <s v="Sunrisers Hyderabad"/>
    <m/>
    <s v="Sunrisers Hyderabad"/>
    <x v="0"/>
    <s v="Win"/>
    <x v="11"/>
    <x v="155"/>
    <x v="31"/>
    <s v="NA"/>
  </r>
  <r>
    <n v="1216535"/>
    <n v="2020"/>
    <x v="12"/>
    <d v="2020-10-31T00:00:00"/>
    <s v="Delhi Capitals"/>
    <s v="Mumbai Indians"/>
    <m/>
    <s v="Mumbai Indians"/>
    <x v="0"/>
    <s v="Win"/>
    <x v="7"/>
    <x v="210"/>
    <x v="32"/>
    <s v="NA"/>
  </r>
  <r>
    <n v="1216506"/>
    <n v="2020"/>
    <x v="12"/>
    <d v="2020-11-01T00:00:00"/>
    <s v="Kings XI Punjab"/>
    <s v="Chennai Super Kings"/>
    <m/>
    <s v="Chennai Super Kings"/>
    <x v="0"/>
    <s v="Win"/>
    <x v="1"/>
    <x v="232"/>
    <x v="30"/>
    <s v="Abu Dhabi"/>
  </r>
  <r>
    <n v="1216530"/>
    <n v="2020"/>
    <x v="12"/>
    <d v="2020-11-01T00:00:00"/>
    <s v="Kolkata Knight Riders"/>
    <s v="Rajasthan Royals"/>
    <m/>
    <s v="Rajasthan Royals"/>
    <x v="0"/>
    <s v="Win"/>
    <x v="0"/>
    <x v="233"/>
    <x v="32"/>
    <s v="NA"/>
  </r>
  <r>
    <n v="1216505"/>
    <n v="2020"/>
    <x v="12"/>
    <d v="2020-11-02T00:00:00"/>
    <s v="Royal Challengers Bangalore"/>
    <s v="Delhi Capitals"/>
    <m/>
    <s v="Delhi Capitals"/>
    <x v="0"/>
    <s v="Win"/>
    <x v="15"/>
    <x v="229"/>
    <x v="30"/>
    <s v="Abu Dhabi"/>
  </r>
  <r>
    <n v="1216495"/>
    <n v="2020"/>
    <x v="12"/>
    <d v="2020-11-03T00:00:00"/>
    <s v="Mumbai Indians"/>
    <s v="Sunrisers Hyderabad"/>
    <m/>
    <s v="Sunrisers Hyderabad"/>
    <x v="0"/>
    <s v="Win"/>
    <x v="11"/>
    <x v="128"/>
    <x v="31"/>
    <s v="NA"/>
  </r>
  <r>
    <n v="1237177"/>
    <n v="2020"/>
    <x v="12"/>
    <d v="2020-11-05T00:00:00"/>
    <s v="Mumbai Indians"/>
    <s v="Delhi Capitals"/>
    <m/>
    <s v="Delhi Capitals"/>
    <x v="0"/>
    <s v="Win"/>
    <x v="7"/>
    <x v="190"/>
    <x v="32"/>
    <s v="NA"/>
  </r>
  <r>
    <n v="1237178"/>
    <n v="2020"/>
    <x v="12"/>
    <d v="2020-11-06T00:00:00"/>
    <s v="Royal Challengers Bangalore"/>
    <s v="Sunrisers Hyderabad"/>
    <m/>
    <s v="Sunrisers Hyderabad"/>
    <x v="0"/>
    <s v="Win"/>
    <x v="11"/>
    <x v="193"/>
    <x v="30"/>
    <s v="Abu Dhabi"/>
  </r>
  <r>
    <n v="1237180"/>
    <n v="2020"/>
    <x v="12"/>
    <d v="2020-11-08T00:00:00"/>
    <s v="Delhi Capitals"/>
    <s v="Sunrisers Hyderabad"/>
    <m/>
    <s v="Delhi Capitals"/>
    <x v="1"/>
    <s v="Win"/>
    <x v="15"/>
    <x v="183"/>
    <x v="30"/>
    <s v="Abu Dhabi"/>
  </r>
  <r>
    <n v="1237181"/>
    <n v="2020"/>
    <x v="12"/>
    <d v="2020-11-10T00:00:00"/>
    <s v="Delhi Capitals"/>
    <s v="Mumbai Indians"/>
    <m/>
    <s v="Delhi Capitals"/>
    <x v="1"/>
    <s v="Win"/>
    <x v="7"/>
    <x v="169"/>
    <x v="32"/>
    <s v="NA"/>
  </r>
  <r>
    <n v="1254058"/>
    <n v="2021"/>
    <x v="13"/>
    <d v="2021-04-09T00:00:00"/>
    <s v="Mumbai Indians"/>
    <s v="Royal Challengers Bangalore"/>
    <m/>
    <s v="Royal Challengers Bangalore"/>
    <x v="0"/>
    <s v="Win"/>
    <x v="3"/>
    <x v="199"/>
    <x v="41"/>
    <s v="Chennai"/>
  </r>
  <r>
    <n v="1254059"/>
    <n v="2021"/>
    <x v="13"/>
    <d v="2021-04-10T00:00:00"/>
    <s v="Chennai Super Kings"/>
    <s v="Delhi Capitals"/>
    <m/>
    <s v="Delhi Capitals"/>
    <x v="0"/>
    <s v="Win"/>
    <x v="15"/>
    <x v="115"/>
    <x v="42"/>
    <s v="Mumbai"/>
  </r>
  <r>
    <n v="1254060"/>
    <n v="2021"/>
    <x v="13"/>
    <d v="2021-04-11T00:00:00"/>
    <s v="Kolkata Knight Riders"/>
    <s v="Sunrisers Hyderabad"/>
    <m/>
    <s v="Sunrisers Hyderabad"/>
    <x v="0"/>
    <s v="Win"/>
    <x v="0"/>
    <x v="189"/>
    <x v="41"/>
    <s v="Chennai"/>
  </r>
  <r>
    <n v="1254061"/>
    <n v="2021"/>
    <x v="13"/>
    <d v="2021-04-12T00:00:00"/>
    <s v="Punjab Kings"/>
    <s v="Rajasthan Royals"/>
    <m/>
    <s v="Rajasthan Royals"/>
    <x v="0"/>
    <s v="Win"/>
    <x v="16"/>
    <x v="144"/>
    <x v="42"/>
    <s v="Mumbai"/>
  </r>
  <r>
    <n v="1254062"/>
    <n v="2021"/>
    <x v="13"/>
    <d v="2021-04-13T00:00:00"/>
    <s v="Mumbai Indians"/>
    <s v="Kolkata Knight Riders"/>
    <m/>
    <s v="Kolkata Knight Riders"/>
    <x v="0"/>
    <s v="Win"/>
    <x v="7"/>
    <x v="234"/>
    <x v="41"/>
    <s v="Chennai"/>
  </r>
  <r>
    <n v="1254063"/>
    <n v="2021"/>
    <x v="13"/>
    <d v="2021-04-14T00:00:00"/>
    <s v="Royal Challengers Bangalore"/>
    <s v="Sunrisers Hyderabad"/>
    <m/>
    <s v="Sunrisers Hyderabad"/>
    <x v="0"/>
    <s v="Win"/>
    <x v="3"/>
    <x v="152"/>
    <x v="41"/>
    <s v="Chennai"/>
  </r>
  <r>
    <n v="1254064"/>
    <n v="2021"/>
    <x v="13"/>
    <d v="2021-04-15T00:00:00"/>
    <s v="Delhi Capitals"/>
    <s v="Rajasthan Royals"/>
    <m/>
    <s v="Rajasthan Royals"/>
    <x v="0"/>
    <s v="Win"/>
    <x v="4"/>
    <x v="92"/>
    <x v="42"/>
    <s v="Mumbai"/>
  </r>
  <r>
    <n v="1254065"/>
    <n v="2021"/>
    <x v="13"/>
    <d v="2021-04-16T00:00:00"/>
    <s v="Punjab Kings"/>
    <s v="Chennai Super Kings"/>
    <m/>
    <s v="Chennai Super Kings"/>
    <x v="0"/>
    <s v="Win"/>
    <x v="1"/>
    <x v="220"/>
    <x v="42"/>
    <s v="Mumbai"/>
  </r>
  <r>
    <n v="1254066"/>
    <n v="2021"/>
    <x v="13"/>
    <d v="2021-04-17T00:00:00"/>
    <s v="Mumbai Indians"/>
    <s v="Sunrisers Hyderabad"/>
    <m/>
    <s v="Mumbai Indians"/>
    <x v="1"/>
    <s v="Win"/>
    <x v="7"/>
    <x v="91"/>
    <x v="41"/>
    <s v="Chennai"/>
  </r>
  <r>
    <n v="1254068"/>
    <n v="2021"/>
    <x v="13"/>
    <d v="2021-04-18T00:00:00"/>
    <s v="Punjab Kings"/>
    <s v="Delhi Capitals"/>
    <m/>
    <s v="Delhi Capitals"/>
    <x v="0"/>
    <s v="Win"/>
    <x v="15"/>
    <x v="115"/>
    <x v="42"/>
    <s v="Mumbai"/>
  </r>
  <r>
    <n v="1254067"/>
    <n v="2021"/>
    <x v="13"/>
    <d v="2021-04-18T00:00:00"/>
    <s v="Royal Challengers Bangalore"/>
    <s v="Kolkata Knight Riders"/>
    <m/>
    <s v="Royal Challengers Bangalore"/>
    <x v="1"/>
    <s v="Win"/>
    <x v="3"/>
    <x v="46"/>
    <x v="41"/>
    <s v="Chennai"/>
  </r>
  <r>
    <n v="1254069"/>
    <n v="2021"/>
    <x v="13"/>
    <d v="2021-04-19T00:00:00"/>
    <s v="Chennai Super Kings"/>
    <s v="Rajasthan Royals"/>
    <m/>
    <s v="Rajasthan Royals"/>
    <x v="0"/>
    <s v="Win"/>
    <x v="1"/>
    <x v="235"/>
    <x v="42"/>
    <s v="Mumbai"/>
  </r>
  <r>
    <n v="1254070"/>
    <n v="2021"/>
    <x v="13"/>
    <d v="2021-04-20T00:00:00"/>
    <s v="Mumbai Indians"/>
    <s v="Delhi Capitals"/>
    <m/>
    <s v="Mumbai Indians"/>
    <x v="1"/>
    <s v="Win"/>
    <x v="15"/>
    <x v="27"/>
    <x v="41"/>
    <s v="Chennai"/>
  </r>
  <r>
    <n v="1254071"/>
    <n v="2021"/>
    <x v="13"/>
    <d v="2021-04-21T00:00:00"/>
    <s v="Punjab Kings"/>
    <s v="Sunrisers Hyderabad"/>
    <m/>
    <s v="Punjab Kings"/>
    <x v="1"/>
    <s v="Win"/>
    <x v="11"/>
    <x v="215"/>
    <x v="41"/>
    <s v="Chennai"/>
  </r>
  <r>
    <n v="1254072"/>
    <n v="2021"/>
    <x v="13"/>
    <d v="2021-04-21T00:00:00"/>
    <s v="Chennai Super Kings"/>
    <s v="Kolkata Knight Riders"/>
    <m/>
    <s v="Kolkata Knight Riders"/>
    <x v="0"/>
    <s v="Win"/>
    <x v="1"/>
    <x v="124"/>
    <x v="42"/>
    <s v="Mumbai"/>
  </r>
  <r>
    <n v="1254073"/>
    <n v="2021"/>
    <x v="13"/>
    <d v="2021-04-22T00:00:00"/>
    <s v="Rajasthan Royals"/>
    <s v="Royal Challengers Bangalore"/>
    <m/>
    <s v="Royal Challengers Bangalore"/>
    <x v="0"/>
    <s v="Win"/>
    <x v="3"/>
    <x v="236"/>
    <x v="42"/>
    <s v="Mumbai"/>
  </r>
  <r>
    <n v="1254074"/>
    <n v="2021"/>
    <x v="13"/>
    <d v="2021-04-23T00:00:00"/>
    <s v="Mumbai Indians"/>
    <s v="Punjab Kings"/>
    <m/>
    <s v="Punjab Kings"/>
    <x v="0"/>
    <s v="Win"/>
    <x v="16"/>
    <x v="202"/>
    <x v="41"/>
    <s v="Chennai"/>
  </r>
  <r>
    <n v="1254075"/>
    <n v="2021"/>
    <x v="13"/>
    <d v="2021-04-24T00:00:00"/>
    <s v="Kolkata Knight Riders"/>
    <s v="Rajasthan Royals"/>
    <m/>
    <s v="Rajasthan Royals"/>
    <x v="0"/>
    <s v="Win"/>
    <x v="4"/>
    <x v="180"/>
    <x v="42"/>
    <s v="Mumbai"/>
  </r>
  <r>
    <n v="1254076"/>
    <n v="2021"/>
    <x v="13"/>
    <d v="2021-04-25T00:00:00"/>
    <s v="Chennai Super Kings"/>
    <s v="Royal Challengers Bangalore"/>
    <m/>
    <s v="Chennai Super Kings"/>
    <x v="1"/>
    <s v="Win"/>
    <x v="1"/>
    <x v="120"/>
    <x v="42"/>
    <s v="Mumbai"/>
  </r>
  <r>
    <n v="1254077"/>
    <n v="2021"/>
    <x v="13"/>
    <d v="2021-04-25T00:00:00"/>
    <s v="Delhi Capitals"/>
    <s v="Sunrisers Hyderabad"/>
    <m/>
    <s v="Delhi Capitals"/>
    <x v="1"/>
    <s v="tie"/>
    <x v="8"/>
    <x v="214"/>
    <x v="41"/>
    <s v="Chennai"/>
  </r>
  <r>
    <n v="1254078"/>
    <n v="2021"/>
    <x v="13"/>
    <d v="2021-04-26T00:00:00"/>
    <s v="Punjab Kings"/>
    <s v="Kolkata Knight Riders"/>
    <m/>
    <s v="Kolkata Knight Riders"/>
    <x v="0"/>
    <s v="Win"/>
    <x v="0"/>
    <x v="171"/>
    <x v="43"/>
    <s v="Ahmedabad"/>
  </r>
  <r>
    <n v="1254079"/>
    <n v="2021"/>
    <x v="13"/>
    <d v="2021-04-27T00:00:00"/>
    <s v="Royal Challengers Bangalore"/>
    <s v="Delhi Capitals"/>
    <m/>
    <s v="Delhi Capitals"/>
    <x v="0"/>
    <s v="Win"/>
    <x v="3"/>
    <x v="46"/>
    <x v="43"/>
    <s v="Ahmedabad"/>
  </r>
  <r>
    <n v="1254080"/>
    <n v="2021"/>
    <x v="13"/>
    <d v="2021-04-28T00:00:00"/>
    <s v="Sunrisers Hyderabad"/>
    <s v="Chennai Super Kings"/>
    <m/>
    <s v="Sunrisers Hyderabad"/>
    <x v="1"/>
    <s v="Win"/>
    <x v="1"/>
    <x v="232"/>
    <x v="44"/>
    <s v="Delhi"/>
  </r>
  <r>
    <n v="1254082"/>
    <n v="2021"/>
    <x v="13"/>
    <d v="2021-04-29T00:00:00"/>
    <s v="Kolkata Knight Riders"/>
    <s v="Delhi Capitals"/>
    <m/>
    <s v="Delhi Capitals"/>
    <x v="0"/>
    <s v="Win"/>
    <x v="15"/>
    <x v="214"/>
    <x v="43"/>
    <s v="Ahmedabad"/>
  </r>
  <r>
    <n v="1254081"/>
    <n v="2021"/>
    <x v="13"/>
    <d v="2021-04-29T00:00:00"/>
    <s v="Rajasthan Royals"/>
    <s v="Mumbai Indians"/>
    <m/>
    <s v="Mumbai Indians"/>
    <x v="0"/>
    <s v="Win"/>
    <x v="7"/>
    <x v="176"/>
    <x v="44"/>
    <s v="Delhi"/>
  </r>
  <r>
    <n v="1254083"/>
    <n v="2021"/>
    <x v="13"/>
    <d v="2021-04-30T00:00:00"/>
    <s v="Punjab Kings"/>
    <s v="Royal Challengers Bangalore"/>
    <m/>
    <s v="Royal Challengers Bangalore"/>
    <x v="0"/>
    <s v="Win"/>
    <x v="16"/>
    <x v="237"/>
    <x v="43"/>
    <s v="Ahmedabad"/>
  </r>
  <r>
    <n v="1254084"/>
    <n v="2021"/>
    <x v="13"/>
    <d v="2021-05-01T00:00:00"/>
    <s v="Chennai Super Kings"/>
    <s v="Mumbai Indians"/>
    <m/>
    <s v="Mumbai Indians"/>
    <x v="0"/>
    <s v="Win"/>
    <x v="7"/>
    <x v="91"/>
    <x v="44"/>
    <s v="Delhi"/>
  </r>
  <r>
    <n v="1254086"/>
    <n v="2021"/>
    <x v="13"/>
    <d v="2021-05-02T00:00:00"/>
    <s v="Punjab Kings"/>
    <s v="Delhi Capitals"/>
    <m/>
    <s v="Delhi Capitals"/>
    <x v="0"/>
    <s v="Win"/>
    <x v="15"/>
    <x v="164"/>
    <x v="43"/>
    <s v="Ahmedabad"/>
  </r>
  <r>
    <n v="1254085"/>
    <n v="2021"/>
    <x v="13"/>
    <d v="2021-05-02T00:00:00"/>
    <s v="Rajasthan Royals"/>
    <s v="Sunrisers Hyderabad"/>
    <m/>
    <s v="Sunrisers Hyderabad"/>
    <x v="0"/>
    <s v="Win"/>
    <x v="4"/>
    <x v="194"/>
    <x v="44"/>
    <s v="Delhi"/>
  </r>
  <r>
    <n v="1254104"/>
    <n v="2021"/>
    <x v="13"/>
    <d v="2021-09-19T00:00:00"/>
    <s v="Chennai Super Kings"/>
    <s v="Mumbai Indians"/>
    <m/>
    <s v="Chennai Super Kings"/>
    <x v="1"/>
    <s v="Win"/>
    <x v="1"/>
    <x v="232"/>
    <x v="32"/>
    <s v="Dubai"/>
  </r>
  <r>
    <n v="1254087"/>
    <n v="2021"/>
    <x v="13"/>
    <d v="2021-09-20T00:00:00"/>
    <s v="Royal Challengers Bangalore"/>
    <s v="Kolkata Knight Riders"/>
    <m/>
    <s v="Royal Challengers Bangalore"/>
    <x v="1"/>
    <s v="Win"/>
    <x v="0"/>
    <x v="230"/>
    <x v="45"/>
    <s v="Abu Dhabi"/>
  </r>
  <r>
    <n v="1254111"/>
    <n v="2021"/>
    <x v="13"/>
    <d v="2021-09-21T00:00:00"/>
    <s v="Rajasthan Royals"/>
    <s v="Punjab Kings"/>
    <m/>
    <s v="Punjab Kings"/>
    <x v="0"/>
    <s v="Win"/>
    <x v="4"/>
    <x v="238"/>
    <x v="32"/>
    <s v="Dubai"/>
  </r>
  <r>
    <n v="1254105"/>
    <n v="2021"/>
    <x v="13"/>
    <d v="2021-09-22T00:00:00"/>
    <s v="Sunrisers Hyderabad"/>
    <s v="Delhi Capitals"/>
    <m/>
    <s v="Sunrisers Hyderabad"/>
    <x v="1"/>
    <s v="Win"/>
    <x v="15"/>
    <x v="229"/>
    <x v="32"/>
    <s v="Dubai"/>
  </r>
  <r>
    <n v="1254096"/>
    <n v="2021"/>
    <x v="13"/>
    <d v="2021-09-23T00:00:00"/>
    <s v="Mumbai Indians"/>
    <s v="Kolkata Knight Riders"/>
    <m/>
    <s v="Kolkata Knight Riders"/>
    <x v="0"/>
    <s v="Win"/>
    <x v="0"/>
    <x v="127"/>
    <x v="45"/>
    <s v="Abu Dhabi"/>
  </r>
  <r>
    <n v="1254113"/>
    <n v="2021"/>
    <x v="13"/>
    <d v="2021-09-24T00:00:00"/>
    <s v="Royal Challengers Bangalore"/>
    <s v="Chennai Super Kings"/>
    <m/>
    <s v="Chennai Super Kings"/>
    <x v="0"/>
    <s v="Win"/>
    <x v="1"/>
    <x v="31"/>
    <x v="31"/>
    <s v="Sharjah"/>
  </r>
  <r>
    <n v="1254107"/>
    <n v="2021"/>
    <x v="13"/>
    <d v="2021-09-25T00:00:00"/>
    <s v="Punjab Kings"/>
    <s v="Sunrisers Hyderabad"/>
    <m/>
    <s v="Sunrisers Hyderabad"/>
    <x v="0"/>
    <s v="Win"/>
    <x v="16"/>
    <x v="239"/>
    <x v="31"/>
    <s v="Sharjah"/>
  </r>
  <r>
    <n v="1254097"/>
    <n v="2021"/>
    <x v="13"/>
    <d v="2021-09-25T00:00:00"/>
    <s v="Delhi Capitals"/>
    <s v="Rajasthan Royals"/>
    <m/>
    <s v="Rajasthan Royals"/>
    <x v="0"/>
    <s v="Win"/>
    <x v="15"/>
    <x v="166"/>
    <x v="45"/>
    <s v="Abu Dhabi"/>
  </r>
  <r>
    <n v="1254098"/>
    <n v="2021"/>
    <x v="13"/>
    <d v="2021-09-26T00:00:00"/>
    <s v="Kolkata Knight Riders"/>
    <s v="Chennai Super Kings"/>
    <m/>
    <s v="Kolkata Knight Riders"/>
    <x v="1"/>
    <s v="Win"/>
    <x v="1"/>
    <x v="120"/>
    <x v="45"/>
    <s v="Abu Dhabi"/>
  </r>
  <r>
    <n v="1254108"/>
    <n v="2021"/>
    <x v="13"/>
    <d v="2021-09-26T00:00:00"/>
    <s v="Royal Challengers Bangalore"/>
    <s v="Mumbai Indians"/>
    <m/>
    <s v="Mumbai Indians"/>
    <x v="0"/>
    <s v="Win"/>
    <x v="3"/>
    <x v="152"/>
    <x v="32"/>
    <s v="Dubai"/>
  </r>
  <r>
    <n v="1254100"/>
    <n v="2021"/>
    <x v="13"/>
    <d v="2021-09-27T00:00:00"/>
    <s v="Rajasthan Royals"/>
    <s v="Sunrisers Hyderabad"/>
    <m/>
    <s v="Rajasthan Royals"/>
    <x v="1"/>
    <s v="Win"/>
    <x v="11"/>
    <x v="205"/>
    <x v="32"/>
    <s v="Dubai"/>
  </r>
  <r>
    <n v="1254099"/>
    <n v="2021"/>
    <x v="13"/>
    <d v="2021-09-28T00:00:00"/>
    <s v="Punjab Kings"/>
    <s v="Mumbai Indians"/>
    <m/>
    <s v="Mumbai Indians"/>
    <x v="0"/>
    <s v="Win"/>
    <x v="7"/>
    <x v="91"/>
    <x v="45"/>
    <s v="Abu Dhabi"/>
  </r>
  <r>
    <n v="1254092"/>
    <n v="2021"/>
    <x v="13"/>
    <d v="2021-09-28T00:00:00"/>
    <s v="Delhi Capitals"/>
    <s v="Kolkata Knight Riders"/>
    <m/>
    <s v="Kolkata Knight Riders"/>
    <x v="0"/>
    <s v="Win"/>
    <x v="0"/>
    <x v="127"/>
    <x v="31"/>
    <s v="Sharjah"/>
  </r>
  <r>
    <n v="1254103"/>
    <n v="2021"/>
    <x v="13"/>
    <d v="2021-09-29T00:00:00"/>
    <s v="Rajasthan Royals"/>
    <s v="Royal Challengers Bangalore"/>
    <m/>
    <s v="Royal Challengers Bangalore"/>
    <x v="0"/>
    <s v="Win"/>
    <x v="3"/>
    <x v="151"/>
    <x v="32"/>
    <s v="Dubai"/>
  </r>
  <r>
    <n v="1254091"/>
    <n v="2021"/>
    <x v="13"/>
    <d v="2021-09-30T00:00:00"/>
    <s v="Sunrisers Hyderabad"/>
    <s v="Chennai Super Kings"/>
    <m/>
    <s v="Chennai Super Kings"/>
    <x v="0"/>
    <s v="Win"/>
    <x v="1"/>
    <x v="240"/>
    <x v="31"/>
    <s v="Sharjah"/>
  </r>
  <r>
    <n v="1254102"/>
    <n v="2021"/>
    <x v="13"/>
    <d v="2021-10-01T00:00:00"/>
    <s v="Kolkata Knight Riders"/>
    <s v="Punjab Kings"/>
    <m/>
    <s v="Punjab Kings"/>
    <x v="0"/>
    <s v="Win"/>
    <x v="16"/>
    <x v="202"/>
    <x v="32"/>
    <s v="Dubai"/>
  </r>
  <r>
    <n v="1254089"/>
    <n v="2021"/>
    <x v="13"/>
    <d v="2021-10-02T00:00:00"/>
    <s v="Chennai Super Kings"/>
    <s v="Rajasthan Royals"/>
    <m/>
    <s v="Rajasthan Royals"/>
    <x v="0"/>
    <s v="Win"/>
    <x v="4"/>
    <x v="232"/>
    <x v="45"/>
    <s v="Abu Dhabi"/>
  </r>
  <r>
    <n v="1254112"/>
    <n v="2021"/>
    <x v="13"/>
    <d v="2021-10-02T00:00:00"/>
    <s v="Mumbai Indians"/>
    <s v="Delhi Capitals"/>
    <m/>
    <s v="Delhi Capitals"/>
    <x v="0"/>
    <s v="Win"/>
    <x v="15"/>
    <x v="160"/>
    <x v="31"/>
    <s v="Sharjah"/>
  </r>
  <r>
    <n v="1254090"/>
    <n v="2021"/>
    <x v="13"/>
    <d v="2021-10-03T00:00:00"/>
    <s v="Royal Challengers Bangalore"/>
    <s v="Punjab Kings"/>
    <m/>
    <s v="Royal Challengers Bangalore"/>
    <x v="1"/>
    <s v="Win"/>
    <x v="3"/>
    <x v="152"/>
    <x v="31"/>
    <s v="Sharjah"/>
  </r>
  <r>
    <n v="1254109"/>
    <n v="2021"/>
    <x v="13"/>
    <d v="2021-10-03T00:00:00"/>
    <s v="Sunrisers Hyderabad"/>
    <s v="Kolkata Knight Riders"/>
    <m/>
    <s v="Sunrisers Hyderabad"/>
    <x v="1"/>
    <s v="Win"/>
    <x v="0"/>
    <x v="224"/>
    <x v="32"/>
    <s v="Dubai"/>
  </r>
  <r>
    <n v="1254110"/>
    <n v="2021"/>
    <x v="13"/>
    <d v="2021-10-04T00:00:00"/>
    <s v="Chennai Super Kings"/>
    <s v="Delhi Capitals"/>
    <m/>
    <s v="Delhi Capitals"/>
    <x v="0"/>
    <s v="Win"/>
    <x v="15"/>
    <x v="160"/>
    <x v="32"/>
    <s v="Dubai"/>
  </r>
  <r>
    <n v="1254093"/>
    <n v="2021"/>
    <x v="13"/>
    <d v="2021-10-05T00:00:00"/>
    <s v="Rajasthan Royals"/>
    <s v="Mumbai Indians"/>
    <m/>
    <s v="Mumbai Indians"/>
    <x v="0"/>
    <s v="Win"/>
    <x v="7"/>
    <x v="170"/>
    <x v="31"/>
    <s v="Sharjah"/>
  </r>
  <r>
    <n v="1254095"/>
    <n v="2021"/>
    <x v="13"/>
    <d v="2021-10-06T00:00:00"/>
    <s v="Sunrisers Hyderabad"/>
    <s v="Royal Challengers Bangalore"/>
    <m/>
    <s v="Royal Challengers Bangalore"/>
    <x v="0"/>
    <s v="Win"/>
    <x v="11"/>
    <x v="193"/>
    <x v="45"/>
    <s v="Abu Dhabi"/>
  </r>
  <r>
    <n v="1254106"/>
    <n v="2021"/>
    <x v="13"/>
    <d v="2021-10-07T00:00:00"/>
    <s v="Kolkata Knight Riders"/>
    <s v="Rajasthan Royals"/>
    <m/>
    <s v="Rajasthan Royals"/>
    <x v="0"/>
    <s v="Win"/>
    <x v="0"/>
    <x v="226"/>
    <x v="31"/>
    <s v="Sharjah"/>
  </r>
  <r>
    <n v="1254094"/>
    <n v="2021"/>
    <x v="13"/>
    <d v="2021-10-07T00:00:00"/>
    <s v="Chennai Super Kings"/>
    <s v="Punjab Kings"/>
    <m/>
    <s v="Punjab Kings"/>
    <x v="0"/>
    <s v="Win"/>
    <x v="16"/>
    <x v="202"/>
    <x v="32"/>
    <s v="Dubai"/>
  </r>
  <r>
    <n v="1254088"/>
    <n v="2021"/>
    <x v="13"/>
    <d v="2021-10-08T00:00:00"/>
    <s v="Mumbai Indians"/>
    <s v="Sunrisers Hyderabad"/>
    <m/>
    <s v="Mumbai Indians"/>
    <x v="1"/>
    <s v="Win"/>
    <x v="7"/>
    <x v="210"/>
    <x v="45"/>
    <s v="Abu Dhabi"/>
  </r>
  <r>
    <n v="1254101"/>
    <n v="2021"/>
    <x v="13"/>
    <d v="2021-10-08T00:00:00"/>
    <s v="Delhi Capitals"/>
    <s v="Royal Challengers Bangalore"/>
    <m/>
    <s v="Royal Challengers Bangalore"/>
    <x v="0"/>
    <s v="Win"/>
    <x v="3"/>
    <x v="241"/>
    <x v="32"/>
    <s v="Dubai"/>
  </r>
  <r>
    <n v="1254114"/>
    <n v="2021"/>
    <x v="13"/>
    <d v="2021-10-10T00:00:00"/>
    <s v="Delhi Capitals"/>
    <s v="Chennai Super Kings"/>
    <m/>
    <s v="Chennai Super Kings"/>
    <x v="0"/>
    <s v="Win"/>
    <x v="1"/>
    <x v="232"/>
    <x v="32"/>
    <s v="Dubai"/>
  </r>
  <r>
    <n v="1254115"/>
    <n v="2021"/>
    <x v="13"/>
    <d v="2021-10-11T00:00:00"/>
    <s v="Royal Challengers Bangalore"/>
    <s v="Kolkata Knight Riders"/>
    <m/>
    <s v="Royal Challengers Bangalore"/>
    <x v="1"/>
    <s v="Win"/>
    <x v="0"/>
    <x v="127"/>
    <x v="31"/>
    <s v="Sharjah"/>
  </r>
  <r>
    <n v="1254116"/>
    <n v="2021"/>
    <x v="13"/>
    <d v="2021-10-13T00:00:00"/>
    <s v="Delhi Capitals"/>
    <s v="Kolkata Knight Riders"/>
    <m/>
    <s v="Kolkata Knight Riders"/>
    <x v="0"/>
    <s v="Win"/>
    <x v="0"/>
    <x v="242"/>
    <x v="31"/>
    <s v="Sharjah"/>
  </r>
  <r>
    <n v="1254117"/>
    <n v="2021"/>
    <x v="13"/>
    <d v="2021-10-15T00:00:00"/>
    <s v="Chennai Super Kings"/>
    <s v="Kolkata Knight Riders"/>
    <m/>
    <s v="Kolkata Knight Riders"/>
    <x v="0"/>
    <s v="Win"/>
    <x v="1"/>
    <x v="124"/>
    <x v="32"/>
    <s v="Dubai"/>
  </r>
  <r>
    <n v="1304047"/>
    <n v="2022"/>
    <x v="14"/>
    <d v="2022-03-26T00:00:00"/>
    <s v="Chennai Super Kings"/>
    <s v="Kolkata Knight Riders"/>
    <m/>
    <s v="Kolkata Knight Riders"/>
    <x v="0"/>
    <s v="Win"/>
    <x v="0"/>
    <x v="136"/>
    <x v="42"/>
    <s v="Mumbai"/>
  </r>
  <r>
    <n v="1304048"/>
    <n v="2022"/>
    <x v="14"/>
    <d v="2022-03-27T00:00:00"/>
    <s v="Mumbai Indians"/>
    <s v="Delhi Capitals"/>
    <m/>
    <s v="Delhi Capitals"/>
    <x v="0"/>
    <s v="Win"/>
    <x v="15"/>
    <x v="211"/>
    <x v="20"/>
    <s v="Mumbai"/>
  </r>
  <r>
    <n v="1304049"/>
    <n v="2022"/>
    <x v="14"/>
    <d v="2022-03-27T00:00:00"/>
    <s v="Royal Challengers Bangalore"/>
    <s v="Punjab Kings"/>
    <m/>
    <s v="Punjab Kings"/>
    <x v="0"/>
    <s v="Win"/>
    <x v="16"/>
    <x v="243"/>
    <x v="46"/>
    <s v="Mumbai"/>
  </r>
  <r>
    <n v="1304050"/>
    <n v="2022"/>
    <x v="14"/>
    <d v="2022-03-28T00:00:00"/>
    <s v="Lucknow Super Giants"/>
    <s v="Gujarat Titans"/>
    <m/>
    <s v="Gujarat Titans"/>
    <x v="0"/>
    <s v="Win"/>
    <x v="17"/>
    <x v="196"/>
    <x v="42"/>
    <s v="Mumbai"/>
  </r>
  <r>
    <n v="1304051"/>
    <n v="2022"/>
    <x v="14"/>
    <d v="2022-03-29T00:00:00"/>
    <s v="Rajasthan Royals"/>
    <s v="Sunrisers Hyderabad"/>
    <m/>
    <s v="Sunrisers Hyderabad"/>
    <x v="0"/>
    <s v="Win"/>
    <x v="4"/>
    <x v="144"/>
    <x v="47"/>
    <s v="Pune"/>
  </r>
  <r>
    <n v="1304052"/>
    <n v="2022"/>
    <x v="14"/>
    <d v="2022-03-30T00:00:00"/>
    <s v="Kolkata Knight Riders"/>
    <s v="Royal Challengers Bangalore"/>
    <m/>
    <s v="Royal Challengers Bangalore"/>
    <x v="0"/>
    <s v="Win"/>
    <x v="3"/>
    <x v="244"/>
    <x v="46"/>
    <s v="Mumbai"/>
  </r>
  <r>
    <n v="1304053"/>
    <n v="2022"/>
    <x v="14"/>
    <d v="2022-03-31T00:00:00"/>
    <s v="Chennai Super Kings"/>
    <s v="Lucknow Super Giants"/>
    <m/>
    <s v="Lucknow Super Giants"/>
    <x v="0"/>
    <s v="Win"/>
    <x v="18"/>
    <x v="245"/>
    <x v="20"/>
    <s v="Mumbai"/>
  </r>
  <r>
    <n v="1304054"/>
    <n v="2022"/>
    <x v="14"/>
    <d v="2022-04-01T00:00:00"/>
    <s v="Punjab Kings"/>
    <s v="Kolkata Knight Riders"/>
    <m/>
    <s v="Kolkata Knight Riders"/>
    <x v="0"/>
    <s v="Win"/>
    <x v="0"/>
    <x v="136"/>
    <x v="42"/>
    <s v="Mumbai"/>
  </r>
  <r>
    <n v="1304055"/>
    <n v="2022"/>
    <x v="14"/>
    <d v="2022-04-02T00:00:00"/>
    <s v="Rajasthan Royals"/>
    <s v="Mumbai Indians"/>
    <m/>
    <s v="Mumbai Indians"/>
    <x v="0"/>
    <s v="Win"/>
    <x v="4"/>
    <x v="194"/>
    <x v="46"/>
    <s v="Mumbai"/>
  </r>
  <r>
    <n v="1304056"/>
    <n v="2022"/>
    <x v="14"/>
    <d v="2022-04-02T00:00:00"/>
    <s v="Gujarat Titans"/>
    <s v="Delhi Capitals"/>
    <m/>
    <s v="Delhi Capitals"/>
    <x v="0"/>
    <s v="Win"/>
    <x v="17"/>
    <x v="195"/>
    <x v="47"/>
    <s v="Pune"/>
  </r>
  <r>
    <n v="1304057"/>
    <n v="2022"/>
    <x v="14"/>
    <d v="2022-04-03T00:00:00"/>
    <s v="Punjab Kings"/>
    <s v="Chennai Super Kings"/>
    <m/>
    <s v="Chennai Super Kings"/>
    <x v="0"/>
    <s v="Win"/>
    <x v="16"/>
    <x v="246"/>
    <x v="20"/>
    <s v="Mumbai"/>
  </r>
  <r>
    <n v="1304058"/>
    <n v="2022"/>
    <x v="14"/>
    <d v="2022-04-04T00:00:00"/>
    <s v="Lucknow Super Giants"/>
    <s v="Sunrisers Hyderabad"/>
    <m/>
    <s v="Sunrisers Hyderabad"/>
    <x v="0"/>
    <s v="Win"/>
    <x v="18"/>
    <x v="247"/>
    <x v="46"/>
    <s v="Mumbai"/>
  </r>
  <r>
    <n v="1304059"/>
    <n v="2022"/>
    <x v="14"/>
    <d v="2022-04-05T00:00:00"/>
    <s v="Rajasthan Royals"/>
    <s v="Royal Challengers Bangalore"/>
    <m/>
    <s v="Royal Challengers Bangalore"/>
    <x v="0"/>
    <s v="Win"/>
    <x v="3"/>
    <x v="35"/>
    <x v="42"/>
    <s v="Mumbai"/>
  </r>
  <r>
    <n v="1304060"/>
    <n v="2022"/>
    <x v="14"/>
    <d v="2022-04-06T00:00:00"/>
    <s v="Mumbai Indians"/>
    <s v="Kolkata Knight Riders"/>
    <m/>
    <s v="Kolkata Knight Riders"/>
    <x v="0"/>
    <s v="Win"/>
    <x v="0"/>
    <x v="233"/>
    <x v="47"/>
    <s v="Pune"/>
  </r>
  <r>
    <n v="1304061"/>
    <n v="2022"/>
    <x v="14"/>
    <d v="2022-04-07T00:00:00"/>
    <s v="Delhi Capitals"/>
    <s v="Lucknow Super Giants"/>
    <m/>
    <s v="Lucknow Super Giants"/>
    <x v="0"/>
    <s v="Win"/>
    <x v="18"/>
    <x v="176"/>
    <x v="46"/>
    <s v="Mumbai"/>
  </r>
  <r>
    <n v="1304062"/>
    <n v="2022"/>
    <x v="14"/>
    <d v="2022-04-08T00:00:00"/>
    <s v="Punjab Kings"/>
    <s v="Gujarat Titans"/>
    <m/>
    <s v="Gujarat Titans"/>
    <x v="0"/>
    <s v="Win"/>
    <x v="17"/>
    <x v="224"/>
    <x v="20"/>
    <s v="Mumbai"/>
  </r>
  <r>
    <n v="1304063"/>
    <n v="2022"/>
    <x v="14"/>
    <d v="2022-04-09T00:00:00"/>
    <s v="Chennai Super Kings"/>
    <s v="Sunrisers Hyderabad"/>
    <m/>
    <s v="Sunrisers Hyderabad"/>
    <x v="0"/>
    <s v="Win"/>
    <x v="11"/>
    <x v="248"/>
    <x v="46"/>
    <s v="Mumbai"/>
  </r>
  <r>
    <n v="1304064"/>
    <n v="2022"/>
    <x v="14"/>
    <d v="2022-04-09T00:00:00"/>
    <s v="Mumbai Indians"/>
    <s v="Royal Challengers Bangalore"/>
    <m/>
    <s v="Royal Challengers Bangalore"/>
    <x v="0"/>
    <s v="Win"/>
    <x v="3"/>
    <x v="249"/>
    <x v="47"/>
    <s v="Pune"/>
  </r>
  <r>
    <n v="1304065"/>
    <n v="2022"/>
    <x v="14"/>
    <d v="2022-04-10T00:00:00"/>
    <s v="Delhi Capitals"/>
    <s v="Kolkata Knight Riders"/>
    <m/>
    <s v="Kolkata Knight Riders"/>
    <x v="0"/>
    <s v="Win"/>
    <x v="15"/>
    <x v="211"/>
    <x v="20"/>
    <s v="Mumbai"/>
  </r>
  <r>
    <n v="1304066"/>
    <n v="2022"/>
    <x v="14"/>
    <d v="2022-04-10T00:00:00"/>
    <s v="Rajasthan Royals"/>
    <s v="Lucknow Super Giants"/>
    <m/>
    <s v="Lucknow Super Giants"/>
    <x v="0"/>
    <s v="Win"/>
    <x v="4"/>
    <x v="151"/>
    <x v="42"/>
    <s v="Mumbai"/>
  </r>
  <r>
    <n v="1304067"/>
    <n v="2022"/>
    <x v="14"/>
    <d v="2022-04-11T00:00:00"/>
    <s v="Gujarat Titans"/>
    <s v="Sunrisers Hyderabad"/>
    <m/>
    <s v="Sunrisers Hyderabad"/>
    <x v="0"/>
    <s v="Win"/>
    <x v="11"/>
    <x v="193"/>
    <x v="46"/>
    <s v="Mumbai"/>
  </r>
  <r>
    <n v="1304068"/>
    <n v="2022"/>
    <x v="14"/>
    <d v="2022-04-12T00:00:00"/>
    <s v="Chennai Super Kings"/>
    <s v="Royal Challengers Bangalore"/>
    <m/>
    <s v="Royal Challengers Bangalore"/>
    <x v="0"/>
    <s v="Win"/>
    <x v="1"/>
    <x v="250"/>
    <x v="46"/>
    <s v="Mumbai"/>
  </r>
  <r>
    <n v="1304069"/>
    <n v="2022"/>
    <x v="14"/>
    <d v="2022-04-13T00:00:00"/>
    <s v="Punjab Kings"/>
    <s v="Mumbai Indians"/>
    <m/>
    <s v="Mumbai Indians"/>
    <x v="0"/>
    <s v="Win"/>
    <x v="16"/>
    <x v="164"/>
    <x v="47"/>
    <s v="Pune"/>
  </r>
  <r>
    <n v="1304070"/>
    <n v="2022"/>
    <x v="14"/>
    <d v="2022-04-14T00:00:00"/>
    <s v="Gujarat Titans"/>
    <s v="Rajasthan Royals"/>
    <m/>
    <s v="Rajasthan Royals"/>
    <x v="0"/>
    <s v="Win"/>
    <x v="17"/>
    <x v="172"/>
    <x v="46"/>
    <s v="Mumbai"/>
  </r>
  <r>
    <n v="1304071"/>
    <n v="2022"/>
    <x v="14"/>
    <d v="2022-04-15T00:00:00"/>
    <s v="Kolkata Knight Riders"/>
    <s v="Sunrisers Hyderabad"/>
    <m/>
    <s v="Sunrisers Hyderabad"/>
    <x v="0"/>
    <s v="Win"/>
    <x v="11"/>
    <x v="197"/>
    <x v="20"/>
    <s v="Mumbai"/>
  </r>
  <r>
    <n v="1304073"/>
    <n v="2022"/>
    <x v="14"/>
    <d v="2022-04-16T00:00:00"/>
    <s v="Royal Challengers Bangalore"/>
    <s v="Delhi Capitals"/>
    <m/>
    <s v="Delhi Capitals"/>
    <x v="0"/>
    <s v="Win"/>
    <x v="3"/>
    <x v="35"/>
    <x v="42"/>
    <s v="Mumbai"/>
  </r>
  <r>
    <n v="1304072"/>
    <n v="2022"/>
    <x v="14"/>
    <d v="2022-04-16T00:00:00"/>
    <s v="Lucknow Super Giants"/>
    <s v="Mumbai Indians"/>
    <m/>
    <s v="Mumbai Indians"/>
    <x v="0"/>
    <s v="Win"/>
    <x v="18"/>
    <x v="202"/>
    <x v="20"/>
    <s v="Mumbai"/>
  </r>
  <r>
    <n v="1304075"/>
    <n v="2022"/>
    <x v="14"/>
    <d v="2022-04-17T00:00:00"/>
    <s v="Chennai Super Kings"/>
    <s v="Gujarat Titans"/>
    <m/>
    <s v="Gujarat Titans"/>
    <x v="0"/>
    <s v="Win"/>
    <x v="17"/>
    <x v="143"/>
    <x v="47"/>
    <s v="Pune"/>
  </r>
  <r>
    <n v="1304074"/>
    <n v="2022"/>
    <x v="14"/>
    <d v="2022-04-17T00:00:00"/>
    <s v="Punjab Kings"/>
    <s v="Sunrisers Hyderabad"/>
    <m/>
    <s v="Sunrisers Hyderabad"/>
    <x v="0"/>
    <s v="Win"/>
    <x v="11"/>
    <x v="251"/>
    <x v="46"/>
    <s v="Mumbai"/>
  </r>
  <r>
    <n v="1304076"/>
    <n v="2022"/>
    <x v="14"/>
    <d v="2022-04-18T00:00:00"/>
    <s v="Rajasthan Royals"/>
    <s v="Kolkata Knight Riders"/>
    <m/>
    <s v="Kolkata Knight Riders"/>
    <x v="0"/>
    <s v="Win"/>
    <x v="4"/>
    <x v="151"/>
    <x v="20"/>
    <s v="Mumbai"/>
  </r>
  <r>
    <n v="1304077"/>
    <n v="2022"/>
    <x v="14"/>
    <d v="2022-04-19T00:00:00"/>
    <s v="Royal Challengers Bangalore"/>
    <s v="Lucknow Super Giants"/>
    <m/>
    <s v="Lucknow Super Giants"/>
    <x v="0"/>
    <s v="Win"/>
    <x v="3"/>
    <x v="124"/>
    <x v="46"/>
    <s v="Mumbai"/>
  </r>
  <r>
    <n v="1304078"/>
    <n v="2022"/>
    <x v="14"/>
    <d v="2022-04-20T00:00:00"/>
    <s v="Punjab Kings"/>
    <s v="Delhi Capitals"/>
    <m/>
    <s v="Delhi Capitals"/>
    <x v="0"/>
    <s v="Win"/>
    <x v="15"/>
    <x v="211"/>
    <x v="20"/>
    <s v="Mumbai"/>
  </r>
  <r>
    <n v="1304079"/>
    <n v="2022"/>
    <x v="14"/>
    <d v="2022-04-21T00:00:00"/>
    <s v="Mumbai Indians"/>
    <s v="Chennai Super Kings"/>
    <m/>
    <s v="Chennai Super Kings"/>
    <x v="0"/>
    <s v="Win"/>
    <x v="1"/>
    <x v="252"/>
    <x v="46"/>
    <s v="Navi Mumbai"/>
  </r>
  <r>
    <n v="1304080"/>
    <n v="2022"/>
    <x v="14"/>
    <d v="2022-04-22T00:00:00"/>
    <s v="Rajasthan Royals"/>
    <s v="Delhi Capitals"/>
    <m/>
    <s v="Delhi Capitals"/>
    <x v="0"/>
    <s v="Win"/>
    <x v="4"/>
    <x v="194"/>
    <x v="42"/>
    <s v="Mumbai"/>
  </r>
  <r>
    <n v="1304081"/>
    <n v="2022"/>
    <x v="14"/>
    <d v="2022-04-23T00:00:00"/>
    <s v="Gujarat Titans"/>
    <s v="Kolkata Knight Riders"/>
    <m/>
    <s v="Gujarat Titans"/>
    <x v="1"/>
    <s v="Win"/>
    <x v="17"/>
    <x v="188"/>
    <x v="46"/>
    <s v="Navi Mumbai"/>
  </r>
  <r>
    <n v="1304082"/>
    <n v="2022"/>
    <x v="14"/>
    <d v="2022-04-23T00:00:00"/>
    <s v="Royal Challengers Bangalore"/>
    <s v="Sunrisers Hyderabad"/>
    <m/>
    <s v="Sunrisers Hyderabad"/>
    <x v="0"/>
    <s v="Win"/>
    <x v="11"/>
    <x v="253"/>
    <x v="20"/>
    <s v="Mumbai"/>
  </r>
  <r>
    <n v="1304083"/>
    <n v="2022"/>
    <x v="14"/>
    <d v="2022-04-24T00:00:00"/>
    <s v="Lucknow Super Giants"/>
    <s v="Mumbai Indians"/>
    <m/>
    <s v="Mumbai Indians"/>
    <x v="0"/>
    <s v="Win"/>
    <x v="18"/>
    <x v="202"/>
    <x v="42"/>
    <s v="Mumbai"/>
  </r>
  <r>
    <n v="1304084"/>
    <n v="2022"/>
    <x v="14"/>
    <d v="2022-04-25T00:00:00"/>
    <s v="Punjab Kings"/>
    <s v="Chennai Super Kings"/>
    <m/>
    <s v="Chennai Super Kings"/>
    <x v="0"/>
    <s v="Win"/>
    <x v="16"/>
    <x v="115"/>
    <x v="42"/>
    <s v="Mumbai"/>
  </r>
  <r>
    <n v="1304085"/>
    <n v="2022"/>
    <x v="14"/>
    <d v="2022-04-26T00:00:00"/>
    <s v="Rajasthan Royals"/>
    <s v="Royal Challengers Bangalore"/>
    <m/>
    <s v="Royal Challengers Bangalore"/>
    <x v="0"/>
    <s v="Win"/>
    <x v="4"/>
    <x v="254"/>
    <x v="47"/>
    <s v="Pune"/>
  </r>
  <r>
    <n v="1304086"/>
    <n v="2022"/>
    <x v="14"/>
    <d v="2022-04-27T00:00:00"/>
    <s v="Sunrisers Hyderabad"/>
    <s v="Gujarat Titans"/>
    <m/>
    <s v="Gujarat Titans"/>
    <x v="0"/>
    <s v="Win"/>
    <x v="17"/>
    <x v="251"/>
    <x v="42"/>
    <s v="Mumbai"/>
  </r>
  <r>
    <n v="1304087"/>
    <n v="2022"/>
    <x v="14"/>
    <d v="2022-04-28T00:00:00"/>
    <s v="Kolkata Knight Riders"/>
    <s v="Delhi Capitals"/>
    <m/>
    <s v="Delhi Capitals"/>
    <x v="0"/>
    <s v="Win"/>
    <x v="15"/>
    <x v="211"/>
    <x v="42"/>
    <s v="Mumbai"/>
  </r>
  <r>
    <n v="1304088"/>
    <n v="2022"/>
    <x v="14"/>
    <d v="2022-04-29T00:00:00"/>
    <s v="Lucknow Super Giants"/>
    <s v="Punjab Kings"/>
    <m/>
    <s v="Punjab Kings"/>
    <x v="0"/>
    <s v="Win"/>
    <x v="18"/>
    <x v="185"/>
    <x v="47"/>
    <s v="Pune"/>
  </r>
  <r>
    <n v="1304090"/>
    <n v="2022"/>
    <x v="14"/>
    <d v="2022-04-30T00:00:00"/>
    <s v="Rajasthan Royals"/>
    <s v="Mumbai Indians"/>
    <m/>
    <s v="Mumbai Indians"/>
    <x v="0"/>
    <s v="Win"/>
    <x v="7"/>
    <x v="178"/>
    <x v="46"/>
    <s v="Navi Mumbai"/>
  </r>
  <r>
    <n v="1304089"/>
    <n v="2022"/>
    <x v="14"/>
    <d v="2022-04-30T00:00:00"/>
    <s v="Royal Challengers Bangalore"/>
    <s v="Gujarat Titans"/>
    <m/>
    <s v="Royal Challengers Bangalore"/>
    <x v="1"/>
    <s v="Win"/>
    <x v="17"/>
    <x v="228"/>
    <x v="20"/>
    <s v="Mumbai"/>
  </r>
  <r>
    <n v="1304091"/>
    <n v="2022"/>
    <x v="14"/>
    <d v="2022-05-01T00:00:00"/>
    <s v="Lucknow Super Giants"/>
    <s v="Delhi Capitals"/>
    <m/>
    <s v="Lucknow Super Giants"/>
    <x v="1"/>
    <s v="Win"/>
    <x v="18"/>
    <x v="255"/>
    <x v="42"/>
    <s v="Mumbai"/>
  </r>
  <r>
    <n v="1304092"/>
    <n v="2022"/>
    <x v="14"/>
    <d v="2022-05-01T00:00:00"/>
    <s v="Chennai Super Kings"/>
    <s v="Sunrisers Hyderabad"/>
    <m/>
    <s v="Sunrisers Hyderabad"/>
    <x v="0"/>
    <s v="Win"/>
    <x v="1"/>
    <x v="232"/>
    <x v="47"/>
    <s v="Pune"/>
  </r>
  <r>
    <n v="1304093"/>
    <n v="2022"/>
    <x v="14"/>
    <d v="2022-05-02T00:00:00"/>
    <s v="Rajasthan Royals"/>
    <s v="Kolkata Knight Riders"/>
    <m/>
    <s v="Kolkata Knight Riders"/>
    <x v="0"/>
    <s v="Win"/>
    <x v="0"/>
    <x v="256"/>
    <x v="42"/>
    <s v="Mumbai"/>
  </r>
  <r>
    <n v="1304094"/>
    <n v="2022"/>
    <x v="14"/>
    <d v="2022-05-03T00:00:00"/>
    <s v="Gujarat Titans"/>
    <s v="Punjab Kings"/>
    <m/>
    <s v="Gujarat Titans"/>
    <x v="1"/>
    <s v="Win"/>
    <x v="16"/>
    <x v="218"/>
    <x v="46"/>
    <s v="Navi Mumbai"/>
  </r>
  <r>
    <n v="1304095"/>
    <n v="2022"/>
    <x v="14"/>
    <d v="2022-05-04T00:00:00"/>
    <s v="Royal Challengers Bangalore"/>
    <s v="Chennai Super Kings"/>
    <m/>
    <s v="Chennai Super Kings"/>
    <x v="0"/>
    <s v="Win"/>
    <x v="3"/>
    <x v="199"/>
    <x v="47"/>
    <s v="Pune"/>
  </r>
  <r>
    <n v="1304096"/>
    <n v="2022"/>
    <x v="14"/>
    <d v="2022-05-05T00:00:00"/>
    <s v="Delhi Capitals"/>
    <s v="Sunrisers Hyderabad"/>
    <m/>
    <s v="Sunrisers Hyderabad"/>
    <x v="0"/>
    <s v="Win"/>
    <x v="15"/>
    <x v="79"/>
    <x v="20"/>
    <s v="Mumbai"/>
  </r>
  <r>
    <n v="1304097"/>
    <n v="2022"/>
    <x v="14"/>
    <d v="2022-05-06T00:00:00"/>
    <s v="Mumbai Indians"/>
    <s v="Gujarat Titans"/>
    <m/>
    <s v="Gujarat Titans"/>
    <x v="0"/>
    <s v="Win"/>
    <x v="7"/>
    <x v="257"/>
    <x v="20"/>
    <s v="Mumbai"/>
  </r>
  <r>
    <n v="1304098"/>
    <n v="2022"/>
    <x v="14"/>
    <d v="2022-05-07T00:00:00"/>
    <s v="Punjab Kings"/>
    <s v="Rajasthan Royals"/>
    <m/>
    <s v="Punjab Kings"/>
    <x v="1"/>
    <s v="Win"/>
    <x v="4"/>
    <x v="258"/>
    <x v="42"/>
    <s v="Mumbai"/>
  </r>
  <r>
    <n v="1304099"/>
    <n v="2022"/>
    <x v="14"/>
    <d v="2022-05-07T00:00:00"/>
    <s v="Lucknow Super Giants"/>
    <s v="Kolkata Knight Riders"/>
    <m/>
    <s v="Kolkata Knight Riders"/>
    <x v="0"/>
    <s v="Win"/>
    <x v="18"/>
    <x v="247"/>
    <x v="47"/>
    <s v="Pune"/>
  </r>
  <r>
    <n v="1304100"/>
    <n v="2022"/>
    <x v="14"/>
    <d v="2022-05-08T00:00:00"/>
    <s v="Royal Challengers Bangalore"/>
    <s v="Sunrisers Hyderabad"/>
    <m/>
    <s v="Royal Challengers Bangalore"/>
    <x v="1"/>
    <s v="Win"/>
    <x v="3"/>
    <x v="244"/>
    <x v="42"/>
    <s v="Mumbai"/>
  </r>
  <r>
    <n v="1304101"/>
    <n v="2022"/>
    <x v="14"/>
    <d v="2022-05-08T00:00:00"/>
    <s v="Chennai Super Kings"/>
    <s v="Delhi Capitals"/>
    <m/>
    <s v="Delhi Capitals"/>
    <x v="0"/>
    <s v="Win"/>
    <x v="1"/>
    <x v="259"/>
    <x v="46"/>
    <s v="Navi Mumbai"/>
  </r>
  <r>
    <n v="1304102"/>
    <n v="2022"/>
    <x v="14"/>
    <d v="2022-05-09T00:00:00"/>
    <s v="Kolkata Knight Riders"/>
    <s v="Mumbai Indians"/>
    <m/>
    <s v="Mumbai Indians"/>
    <x v="0"/>
    <s v="Win"/>
    <x v="0"/>
    <x v="190"/>
    <x v="46"/>
    <s v="Navi Mumbai"/>
  </r>
  <r>
    <n v="1304103"/>
    <n v="2022"/>
    <x v="14"/>
    <d v="2022-05-10T00:00:00"/>
    <s v="Gujarat Titans"/>
    <s v="Lucknow Super Giants"/>
    <m/>
    <s v="Gujarat Titans"/>
    <x v="1"/>
    <s v="Win"/>
    <x v="17"/>
    <x v="224"/>
    <x v="47"/>
    <s v="Pune"/>
  </r>
  <r>
    <n v="1304104"/>
    <n v="2022"/>
    <x v="14"/>
    <d v="2022-05-11T00:00:00"/>
    <s v="Rajasthan Royals"/>
    <s v="Delhi Capitals"/>
    <m/>
    <s v="Delhi Capitals"/>
    <x v="0"/>
    <s v="Win"/>
    <x v="15"/>
    <x v="111"/>
    <x v="46"/>
    <s v="Navi Mumbai"/>
  </r>
  <r>
    <n v="1304105"/>
    <n v="2022"/>
    <x v="14"/>
    <d v="2022-05-12T00:00:00"/>
    <s v="Chennai Super Kings"/>
    <s v="Mumbai Indians"/>
    <m/>
    <s v="Mumbai Indians"/>
    <x v="0"/>
    <s v="Win"/>
    <x v="7"/>
    <x v="260"/>
    <x v="42"/>
    <s v="Mumbai"/>
  </r>
  <r>
    <n v="1304106"/>
    <n v="2022"/>
    <x v="14"/>
    <d v="2022-05-13T00:00:00"/>
    <s v="Punjab Kings"/>
    <s v="Royal Challengers Bangalore"/>
    <m/>
    <s v="Royal Challengers Bangalore"/>
    <x v="0"/>
    <s v="Win"/>
    <x v="16"/>
    <x v="215"/>
    <x v="20"/>
    <s v="Mumbai"/>
  </r>
  <r>
    <n v="1304107"/>
    <n v="2022"/>
    <x v="14"/>
    <d v="2022-05-14T00:00:00"/>
    <s v="Kolkata Knight Riders"/>
    <s v="Sunrisers Hyderabad"/>
    <m/>
    <s v="Kolkata Knight Riders"/>
    <x v="1"/>
    <s v="Win"/>
    <x v="0"/>
    <x v="165"/>
    <x v="47"/>
    <s v="Pune"/>
  </r>
  <r>
    <n v="1304109"/>
    <n v="2022"/>
    <x v="14"/>
    <d v="2022-05-15T00:00:00"/>
    <s v="Rajasthan Royals"/>
    <s v="Lucknow Super Giants"/>
    <m/>
    <s v="Rajasthan Royals"/>
    <x v="1"/>
    <s v="Win"/>
    <x v="4"/>
    <x v="169"/>
    <x v="20"/>
    <s v="Mumbai"/>
  </r>
  <r>
    <n v="1304108"/>
    <n v="2022"/>
    <x v="14"/>
    <d v="2022-05-15T00:00:00"/>
    <s v="Chennai Super Kings"/>
    <s v="Gujarat Titans"/>
    <m/>
    <s v="Chennai Super Kings"/>
    <x v="1"/>
    <s v="Win"/>
    <x v="17"/>
    <x v="113"/>
    <x v="42"/>
    <s v="Mumbai"/>
  </r>
  <r>
    <n v="1304110"/>
    <n v="2022"/>
    <x v="14"/>
    <d v="2022-05-16T00:00:00"/>
    <s v="Delhi Capitals"/>
    <s v="Punjab Kings"/>
    <m/>
    <s v="Punjab Kings"/>
    <x v="0"/>
    <s v="Win"/>
    <x v="15"/>
    <x v="261"/>
    <x v="46"/>
    <s v="Navi Mumbai"/>
  </r>
  <r>
    <n v="1304111"/>
    <n v="2022"/>
    <x v="14"/>
    <d v="2022-05-17T00:00:00"/>
    <s v="Sunrisers Hyderabad"/>
    <s v="Mumbai Indians"/>
    <m/>
    <s v="Mumbai Indians"/>
    <x v="0"/>
    <s v="Win"/>
    <x v="11"/>
    <x v="197"/>
    <x v="42"/>
    <s v="Mumbai"/>
  </r>
  <r>
    <n v="1304112"/>
    <n v="2022"/>
    <x v="14"/>
    <d v="2022-05-18T00:00:00"/>
    <s v="Lucknow Super Giants"/>
    <s v="Kolkata Knight Riders"/>
    <m/>
    <s v="Lucknow Super Giants"/>
    <x v="1"/>
    <s v="Win"/>
    <x v="18"/>
    <x v="176"/>
    <x v="46"/>
    <s v="Navi Mumbai"/>
  </r>
  <r>
    <n v="1304113"/>
    <n v="2022"/>
    <x v="14"/>
    <d v="2022-05-19T00:00:00"/>
    <s v="Gujarat Titans"/>
    <s v="Royal Challengers Bangalore"/>
    <m/>
    <s v="Gujarat Titans"/>
    <x v="1"/>
    <s v="Win"/>
    <x v="3"/>
    <x v="104"/>
    <x v="42"/>
    <s v="Mumbai"/>
  </r>
  <r>
    <n v="1304114"/>
    <n v="2022"/>
    <x v="14"/>
    <d v="2022-05-20T00:00:00"/>
    <s v="Chennai Super Kings"/>
    <s v="Rajasthan Royals"/>
    <m/>
    <s v="Chennai Super Kings"/>
    <x v="1"/>
    <s v="Win"/>
    <x v="4"/>
    <x v="90"/>
    <x v="20"/>
    <s v="Mumbai"/>
  </r>
  <r>
    <n v="1304115"/>
    <n v="2022"/>
    <x v="14"/>
    <d v="2022-05-21T00:00:00"/>
    <s v="Delhi Capitals"/>
    <s v="Mumbai Indians"/>
    <m/>
    <s v="Mumbai Indians"/>
    <x v="0"/>
    <s v="Win"/>
    <x v="7"/>
    <x v="190"/>
    <x v="42"/>
    <s v="Mumbai"/>
  </r>
  <r>
    <n v="1304116"/>
    <n v="2022"/>
    <x v="14"/>
    <d v="2022-05-22T00:00:00"/>
    <s v="Sunrisers Hyderabad"/>
    <s v="Punjab Kings"/>
    <m/>
    <s v="Sunrisers Hyderabad"/>
    <x v="1"/>
    <s v="Win"/>
    <x v="16"/>
    <x v="237"/>
    <x v="42"/>
    <s v="Mumbai"/>
  </r>
  <r>
    <n v="1312197"/>
    <n v="2022"/>
    <x v="14"/>
    <d v="2022-05-24T00:00:00"/>
    <s v="Rajasthan Royals"/>
    <s v="Gujarat Titans"/>
    <m/>
    <s v="Gujarat Titans"/>
    <x v="0"/>
    <s v="Win"/>
    <x v="17"/>
    <x v="143"/>
    <x v="48"/>
    <s v="Kolkata"/>
  </r>
  <r>
    <n v="1312198"/>
    <n v="2022"/>
    <x v="14"/>
    <d v="2022-05-25T00:00:00"/>
    <s v="Royal Challengers Bangalore"/>
    <s v="Lucknow Super Giants"/>
    <m/>
    <s v="Lucknow Super Giants"/>
    <x v="0"/>
    <s v="Win"/>
    <x v="3"/>
    <x v="262"/>
    <x v="48"/>
    <s v="Kolkata"/>
  </r>
  <r>
    <n v="1312199"/>
    <n v="2022"/>
    <x v="14"/>
    <d v="2022-05-27T00:00:00"/>
    <s v="Royal Challengers Bangalore"/>
    <s v="Rajasthan Royals"/>
    <m/>
    <s v="Rajasthan Royals"/>
    <x v="0"/>
    <s v="Win"/>
    <x v="4"/>
    <x v="194"/>
    <x v="43"/>
    <s v="Ahmedabad"/>
  </r>
  <r>
    <n v="1312200"/>
    <n v="2022"/>
    <x v="14"/>
    <d v="2022-05-29T00:00:00"/>
    <s v="Rajasthan Royals"/>
    <s v="Gujarat Titans"/>
    <m/>
    <s v="Rajasthan Royals"/>
    <x v="1"/>
    <s v="Win"/>
    <x v="17"/>
    <x v="172"/>
    <x v="43"/>
    <s v="Ahmedabad"/>
  </r>
  <r>
    <n v="1359475"/>
    <n v="2023"/>
    <x v="15"/>
    <d v="2023-03-31T00:00:00"/>
    <s v="Chennai Super Kings"/>
    <s v="Gujarat Titans"/>
    <m/>
    <s v="Gujarat Titans"/>
    <x v="0"/>
    <s v="Win"/>
    <x v="17"/>
    <x v="188"/>
    <x v="43"/>
    <s v="Ahmedabad"/>
  </r>
  <r>
    <n v="1359477"/>
    <n v="2023"/>
    <x v="15"/>
    <d v="2023-04-01T00:00:00"/>
    <s v="Lucknow Super Giants"/>
    <s v="Delhi Capitals"/>
    <m/>
    <s v="Delhi Capitals"/>
    <x v="0"/>
    <s v="Win"/>
    <x v="18"/>
    <x v="263"/>
    <x v="49"/>
    <s v="Lucknow"/>
  </r>
  <r>
    <n v="1359476"/>
    <n v="2023"/>
    <x v="15"/>
    <d v="2023-04-01T00:00:00"/>
    <s v="Punjab Kings"/>
    <s v="Kolkata Knight Riders"/>
    <m/>
    <s v="Kolkata Knight Riders"/>
    <x v="0"/>
    <s v="Win"/>
    <x v="16"/>
    <x v="264"/>
    <x v="50"/>
    <s v="Chandigarh"/>
  </r>
  <r>
    <n v="1359479"/>
    <n v="2023"/>
    <x v="15"/>
    <d v="2023-04-02T00:00:00"/>
    <s v="Mumbai Indians"/>
    <s v="Royal Challengers Bangalore"/>
    <m/>
    <s v="Royal Challengers Bangalore"/>
    <x v="0"/>
    <s v="Win"/>
    <x v="3"/>
    <x v="124"/>
    <x v="51"/>
    <s v="Bengaluru"/>
  </r>
  <r>
    <n v="1359478"/>
    <n v="2023"/>
    <x v="15"/>
    <d v="2023-04-02T00:00:00"/>
    <s v="Rajasthan Royals"/>
    <s v="Sunrisers Hyderabad"/>
    <m/>
    <s v="Sunrisers Hyderabad"/>
    <x v="0"/>
    <s v="Win"/>
    <x v="4"/>
    <x v="194"/>
    <x v="52"/>
    <s v="Hyderabad"/>
  </r>
  <r>
    <n v="1359480"/>
    <n v="2023"/>
    <x v="15"/>
    <d v="2023-04-03T00:00:00"/>
    <s v="Chennai Super Kings"/>
    <s v="Lucknow Super Giants"/>
    <m/>
    <s v="Lucknow Super Giants"/>
    <x v="0"/>
    <s v="Win"/>
    <x v="1"/>
    <x v="235"/>
    <x v="41"/>
    <s v="Chennai"/>
  </r>
  <r>
    <n v="1359481"/>
    <n v="2023"/>
    <x v="15"/>
    <d v="2023-04-04T00:00:00"/>
    <s v="Delhi Capitals"/>
    <s v="Gujarat Titans"/>
    <m/>
    <s v="Gujarat Titans"/>
    <x v="0"/>
    <s v="Win"/>
    <x v="17"/>
    <x v="265"/>
    <x v="44"/>
    <s v="Delhi"/>
  </r>
  <r>
    <n v="1359482"/>
    <n v="2023"/>
    <x v="15"/>
    <d v="2023-04-05T00:00:00"/>
    <s v="Punjab Kings"/>
    <s v="Rajasthan Royals"/>
    <m/>
    <s v="Rajasthan Royals"/>
    <x v="0"/>
    <s v="Win"/>
    <x v="16"/>
    <x v="266"/>
    <x v="53"/>
    <s v="Guwahati"/>
  </r>
  <r>
    <n v="1359483"/>
    <n v="2023"/>
    <x v="15"/>
    <d v="2023-04-06T00:00:00"/>
    <s v="Kolkata Knight Riders"/>
    <s v="Royal Challengers Bangalore"/>
    <m/>
    <s v="Royal Challengers Bangalore"/>
    <x v="0"/>
    <s v="Win"/>
    <x v="0"/>
    <x v="261"/>
    <x v="48"/>
    <s v="Kolkata"/>
  </r>
  <r>
    <n v="1359484"/>
    <n v="2023"/>
    <x v="15"/>
    <d v="2023-04-07T00:00:00"/>
    <s v="Sunrisers Hyderabad"/>
    <s v="Lucknow Super Giants"/>
    <m/>
    <s v="Sunrisers Hyderabad"/>
    <x v="1"/>
    <s v="Win"/>
    <x v="18"/>
    <x v="185"/>
    <x v="49"/>
    <s v="Lucknow"/>
  </r>
  <r>
    <n v="1359485"/>
    <n v="2023"/>
    <x v="15"/>
    <d v="2023-04-08T00:00:00"/>
    <s v="Rajasthan Royals"/>
    <s v="Delhi Capitals"/>
    <m/>
    <s v="Delhi Capitals"/>
    <x v="0"/>
    <s v="Win"/>
    <x v="4"/>
    <x v="258"/>
    <x v="53"/>
    <s v="Guwahati"/>
  </r>
  <r>
    <n v="1359486"/>
    <n v="2023"/>
    <x v="15"/>
    <d v="2023-04-08T00:00:00"/>
    <s v="Mumbai Indians"/>
    <s v="Chennai Super Kings"/>
    <m/>
    <s v="Chennai Super Kings"/>
    <x v="0"/>
    <s v="Win"/>
    <x v="1"/>
    <x v="120"/>
    <x v="42"/>
    <s v="Mumbai"/>
  </r>
  <r>
    <n v="1359488"/>
    <n v="2023"/>
    <x v="15"/>
    <d v="2023-04-09T00:00:00"/>
    <s v="Punjab Kings"/>
    <s v="Sunrisers Hyderabad"/>
    <m/>
    <s v="Sunrisers Hyderabad"/>
    <x v="0"/>
    <s v="Win"/>
    <x v="11"/>
    <x v="115"/>
    <x v="52"/>
    <s v="Hyderabad"/>
  </r>
  <r>
    <n v="1359487"/>
    <n v="2023"/>
    <x v="15"/>
    <d v="2023-04-09T00:00:00"/>
    <s v="Gujarat Titans"/>
    <s v="Kolkata Knight Riders"/>
    <m/>
    <s v="Gujarat Titans"/>
    <x v="1"/>
    <s v="Win"/>
    <x v="0"/>
    <x v="256"/>
    <x v="43"/>
    <s v="Ahmedabad"/>
  </r>
  <r>
    <n v="1359489"/>
    <n v="2023"/>
    <x v="15"/>
    <d v="2023-04-10T00:00:00"/>
    <s v="Royal Challengers Bangalore"/>
    <s v="Lucknow Super Giants"/>
    <m/>
    <s v="Lucknow Super Giants"/>
    <x v="0"/>
    <s v="Win"/>
    <x v="18"/>
    <x v="267"/>
    <x v="51"/>
    <s v="Bengaluru"/>
  </r>
  <r>
    <n v="1359490"/>
    <n v="2023"/>
    <x v="15"/>
    <d v="2023-04-11T00:00:00"/>
    <s v="Delhi Capitals"/>
    <s v="Mumbai Indians"/>
    <m/>
    <s v="Mumbai Indians"/>
    <x v="0"/>
    <s v="Win"/>
    <x v="7"/>
    <x v="57"/>
    <x v="44"/>
    <s v="Delhi"/>
  </r>
  <r>
    <n v="1359491"/>
    <n v="2023"/>
    <x v="15"/>
    <d v="2023-04-12T00:00:00"/>
    <s v="Rajasthan Royals"/>
    <s v="Chennai Super Kings"/>
    <m/>
    <s v="Chennai Super Kings"/>
    <x v="0"/>
    <s v="Win"/>
    <x v="4"/>
    <x v="90"/>
    <x v="41"/>
    <s v="Chennai"/>
  </r>
  <r>
    <n v="1359492"/>
    <n v="2023"/>
    <x v="15"/>
    <d v="2023-04-13T00:00:00"/>
    <s v="Punjab Kings"/>
    <s v="Gujarat Titans"/>
    <m/>
    <s v="Gujarat Titans"/>
    <x v="0"/>
    <s v="Win"/>
    <x v="17"/>
    <x v="154"/>
    <x v="50"/>
    <s v="Chandigarh"/>
  </r>
  <r>
    <n v="1359493"/>
    <n v="2023"/>
    <x v="15"/>
    <d v="2023-04-14T00:00:00"/>
    <s v="Sunrisers Hyderabad"/>
    <s v="Kolkata Knight Riders"/>
    <m/>
    <s v="Kolkata Knight Riders"/>
    <x v="0"/>
    <s v="Win"/>
    <x v="11"/>
    <x v="268"/>
    <x v="48"/>
    <s v="Kolkata"/>
  </r>
  <r>
    <n v="1359495"/>
    <n v="2023"/>
    <x v="15"/>
    <d v="2023-04-15T00:00:00"/>
    <s v="Lucknow Super Giants"/>
    <s v="Punjab Kings"/>
    <m/>
    <s v="Punjab Kings"/>
    <x v="0"/>
    <s v="Win"/>
    <x v="16"/>
    <x v="269"/>
    <x v="49"/>
    <s v="Lucknow"/>
  </r>
  <r>
    <n v="1359494"/>
    <n v="2023"/>
    <x v="15"/>
    <d v="2023-04-15T00:00:00"/>
    <s v="Royal Challengers Bangalore"/>
    <s v="Delhi Capitals"/>
    <m/>
    <s v="Delhi Capitals"/>
    <x v="0"/>
    <s v="Win"/>
    <x v="3"/>
    <x v="104"/>
    <x v="51"/>
    <s v="Bengaluru"/>
  </r>
  <r>
    <n v="1359496"/>
    <n v="2023"/>
    <x v="15"/>
    <d v="2023-04-16T00:00:00"/>
    <s v="Kolkata Knight Riders"/>
    <s v="Mumbai Indians"/>
    <m/>
    <s v="Mumbai Indians"/>
    <x v="0"/>
    <s v="Win"/>
    <x v="7"/>
    <x v="242"/>
    <x v="42"/>
    <s v="Mumbai"/>
  </r>
  <r>
    <n v="1359497"/>
    <n v="2023"/>
    <x v="15"/>
    <d v="2023-04-16T00:00:00"/>
    <s v="Gujarat Titans"/>
    <s v="Rajasthan Royals"/>
    <m/>
    <s v="Rajasthan Royals"/>
    <x v="0"/>
    <s v="Win"/>
    <x v="4"/>
    <x v="225"/>
    <x v="43"/>
    <s v="Ahmedabad"/>
  </r>
  <r>
    <n v="1359498"/>
    <n v="2023"/>
    <x v="15"/>
    <d v="2023-04-17T00:00:00"/>
    <s v="Chennai Super Kings"/>
    <s v="Royal Challengers Bangalore"/>
    <m/>
    <s v="Royal Challengers Bangalore"/>
    <x v="0"/>
    <s v="Win"/>
    <x v="1"/>
    <x v="259"/>
    <x v="51"/>
    <s v="Bengaluru"/>
  </r>
  <r>
    <n v="1359499"/>
    <n v="2023"/>
    <x v="15"/>
    <d v="2023-04-18T00:00:00"/>
    <s v="Mumbai Indians"/>
    <s v="Sunrisers Hyderabad"/>
    <m/>
    <s v="Sunrisers Hyderabad"/>
    <x v="0"/>
    <s v="Win"/>
    <x v="7"/>
    <x v="270"/>
    <x v="52"/>
    <s v="Hyderabad"/>
  </r>
  <r>
    <n v="1359500"/>
    <n v="2023"/>
    <x v="15"/>
    <d v="2023-04-19T00:00:00"/>
    <s v="Lucknow Super Giants"/>
    <s v="Rajasthan Royals"/>
    <m/>
    <s v="Rajasthan Royals"/>
    <x v="0"/>
    <s v="Win"/>
    <x v="18"/>
    <x v="183"/>
    <x v="54"/>
    <s v="Jaipur"/>
  </r>
  <r>
    <n v="1359502"/>
    <n v="2023"/>
    <x v="15"/>
    <d v="2023-04-20T00:00:00"/>
    <s v="Kolkata Knight Riders"/>
    <s v="Delhi Capitals"/>
    <m/>
    <s v="Delhi Capitals"/>
    <x v="0"/>
    <s v="Win"/>
    <x v="15"/>
    <x v="105"/>
    <x v="44"/>
    <s v="Delhi"/>
  </r>
  <r>
    <n v="1359501"/>
    <n v="2023"/>
    <x v="15"/>
    <d v="2023-04-20T00:00:00"/>
    <s v="Royal Challengers Bangalore"/>
    <s v="Punjab Kings"/>
    <m/>
    <s v="Punjab Kings"/>
    <x v="0"/>
    <s v="Win"/>
    <x v="3"/>
    <x v="198"/>
    <x v="50"/>
    <s v="Chandigarh"/>
  </r>
  <r>
    <n v="1359503"/>
    <n v="2023"/>
    <x v="15"/>
    <d v="2023-04-21T00:00:00"/>
    <s v="Sunrisers Hyderabad"/>
    <s v="Chennai Super Kings"/>
    <m/>
    <s v="Chennai Super Kings"/>
    <x v="0"/>
    <s v="Win"/>
    <x v="1"/>
    <x v="120"/>
    <x v="41"/>
    <s v="Chennai"/>
  </r>
  <r>
    <n v="1359505"/>
    <n v="2023"/>
    <x v="15"/>
    <d v="2023-04-22T00:00:00"/>
    <s v="Punjab Kings"/>
    <s v="Mumbai Indians"/>
    <m/>
    <s v="Mumbai Indians"/>
    <x v="0"/>
    <s v="Win"/>
    <x v="16"/>
    <x v="216"/>
    <x v="42"/>
    <s v="Mumbai"/>
  </r>
  <r>
    <n v="1359504"/>
    <n v="2023"/>
    <x v="15"/>
    <d v="2023-04-22T00:00:00"/>
    <s v="Gujarat Titans"/>
    <s v="Lucknow Super Giants"/>
    <m/>
    <s v="Gujarat Titans"/>
    <x v="1"/>
    <s v="Win"/>
    <x v="17"/>
    <x v="154"/>
    <x v="49"/>
    <s v="Lucknow"/>
  </r>
  <r>
    <n v="1359506"/>
    <n v="2023"/>
    <x v="15"/>
    <d v="2023-04-23T00:00:00"/>
    <s v="Royal Challengers Bangalore"/>
    <s v="Rajasthan Royals"/>
    <m/>
    <s v="Rajasthan Royals"/>
    <x v="0"/>
    <s v="Win"/>
    <x v="3"/>
    <x v="152"/>
    <x v="51"/>
    <s v="Bengaluru"/>
  </r>
  <r>
    <n v="1359507"/>
    <n v="2023"/>
    <x v="15"/>
    <d v="2023-04-23T00:00:00"/>
    <s v="Chennai Super Kings"/>
    <s v="Kolkata Knight Riders"/>
    <m/>
    <s v="Kolkata Knight Riders"/>
    <x v="0"/>
    <s v="Win"/>
    <x v="1"/>
    <x v="118"/>
    <x v="48"/>
    <s v="Kolkata"/>
  </r>
  <r>
    <n v="1359508"/>
    <n v="2023"/>
    <x v="15"/>
    <d v="2023-04-24T00:00:00"/>
    <s v="Delhi Capitals"/>
    <s v="Sunrisers Hyderabad"/>
    <m/>
    <s v="Delhi Capitals"/>
    <x v="1"/>
    <s v="Win"/>
    <x v="15"/>
    <x v="160"/>
    <x v="52"/>
    <s v="Hyderabad"/>
  </r>
  <r>
    <n v="1359509"/>
    <n v="2023"/>
    <x v="15"/>
    <d v="2023-04-25T00:00:00"/>
    <s v="Gujarat Titans"/>
    <s v="Mumbai Indians"/>
    <m/>
    <s v="Mumbai Indians"/>
    <x v="0"/>
    <s v="Win"/>
    <x v="17"/>
    <x v="271"/>
    <x v="43"/>
    <s v="Ahmedabad"/>
  </r>
  <r>
    <n v="1359510"/>
    <n v="2023"/>
    <x v="15"/>
    <d v="2023-04-26T00:00:00"/>
    <s v="Kolkata Knight Riders"/>
    <s v="Royal Challengers Bangalore"/>
    <m/>
    <s v="Royal Challengers Bangalore"/>
    <x v="0"/>
    <s v="Win"/>
    <x v="0"/>
    <x v="230"/>
    <x v="51"/>
    <s v="Bengaluru"/>
  </r>
  <r>
    <n v="1359511"/>
    <n v="2023"/>
    <x v="15"/>
    <d v="2023-04-27T00:00:00"/>
    <s v="Rajasthan Royals"/>
    <s v="Chennai Super Kings"/>
    <m/>
    <s v="Rajasthan Royals"/>
    <x v="1"/>
    <s v="Win"/>
    <x v="4"/>
    <x v="258"/>
    <x v="54"/>
    <s v="Jaipur"/>
  </r>
  <r>
    <n v="1359512"/>
    <n v="2023"/>
    <x v="15"/>
    <d v="2023-04-28T00:00:00"/>
    <s v="Lucknow Super Giants"/>
    <s v="Punjab Kings"/>
    <m/>
    <s v="Punjab Kings"/>
    <x v="0"/>
    <s v="Win"/>
    <x v="18"/>
    <x v="183"/>
    <x v="50"/>
    <s v="Chandigarh"/>
  </r>
  <r>
    <n v="1359514"/>
    <n v="2023"/>
    <x v="15"/>
    <d v="2023-04-29T00:00:00"/>
    <s v="Sunrisers Hyderabad"/>
    <s v="Delhi Capitals"/>
    <m/>
    <s v="Sunrisers Hyderabad"/>
    <x v="1"/>
    <s v="Win"/>
    <x v="11"/>
    <x v="111"/>
    <x v="44"/>
    <s v="Delhi"/>
  </r>
  <r>
    <n v="1359513"/>
    <n v="2023"/>
    <x v="15"/>
    <d v="2023-04-29T00:00:00"/>
    <s v="Kolkata Knight Riders"/>
    <s v="Gujarat Titans"/>
    <m/>
    <s v="Gujarat Titans"/>
    <x v="0"/>
    <s v="Win"/>
    <x v="17"/>
    <x v="272"/>
    <x v="48"/>
    <s v="Kolkata"/>
  </r>
  <r>
    <n v="1359515"/>
    <n v="2023"/>
    <x v="15"/>
    <d v="2023-04-30T00:00:00"/>
    <s v="Chennai Super Kings"/>
    <s v="Punjab Kings"/>
    <m/>
    <s v="Chennai Super Kings"/>
    <x v="1"/>
    <s v="Win"/>
    <x v="16"/>
    <x v="259"/>
    <x v="41"/>
    <s v="Chennai"/>
  </r>
  <r>
    <n v="1359516"/>
    <n v="2023"/>
    <x v="15"/>
    <d v="2023-04-30T00:00:00"/>
    <s v="Rajasthan Royals"/>
    <s v="Mumbai Indians"/>
    <m/>
    <s v="Rajasthan Royals"/>
    <x v="1"/>
    <s v="Win"/>
    <x v="7"/>
    <x v="258"/>
    <x v="42"/>
    <s v="Mumbai"/>
  </r>
  <r>
    <n v="1359517"/>
    <n v="2023"/>
    <x v="15"/>
    <d v="2023-05-01T00:00:00"/>
    <s v="Royal Challengers Bangalore"/>
    <s v="Lucknow Super Giants"/>
    <m/>
    <s v="Royal Challengers Bangalore"/>
    <x v="1"/>
    <s v="Win"/>
    <x v="3"/>
    <x v="124"/>
    <x v="49"/>
    <s v="Lucknow"/>
  </r>
  <r>
    <n v="1359518"/>
    <n v="2023"/>
    <x v="15"/>
    <d v="2023-05-02T00:00:00"/>
    <s v="Delhi Capitals"/>
    <s v="Gujarat Titans"/>
    <m/>
    <s v="Delhi Capitals"/>
    <x v="1"/>
    <s v="Win"/>
    <x v="15"/>
    <x v="196"/>
    <x v="43"/>
    <s v="Ahmedabad"/>
  </r>
  <r>
    <n v="1359519"/>
    <n v="2023"/>
    <x v="15"/>
    <d v="2023-05-03T00:00:00"/>
    <s v="Lucknow Super Giants"/>
    <s v="Chennai Super Kings"/>
    <m/>
    <s v="Chennai Super Kings"/>
    <x v="0"/>
    <s v="no result"/>
    <x v="8"/>
    <x v="114"/>
    <x v="49"/>
    <s v="Lucknow"/>
  </r>
  <r>
    <n v="1359520"/>
    <n v="2023"/>
    <x v="15"/>
    <d v="2023-05-03T00:00:00"/>
    <s v="Punjab Kings"/>
    <s v="Mumbai Indians"/>
    <m/>
    <s v="Mumbai Indians"/>
    <x v="0"/>
    <s v="Win"/>
    <x v="7"/>
    <x v="210"/>
    <x v="50"/>
    <s v="Chandigarh"/>
  </r>
  <r>
    <n v="1359521"/>
    <n v="2023"/>
    <x v="15"/>
    <d v="2023-05-04T00:00:00"/>
    <s v="Kolkata Knight Riders"/>
    <s v="Sunrisers Hyderabad"/>
    <m/>
    <s v="Kolkata Knight Riders"/>
    <x v="1"/>
    <s v="Win"/>
    <x v="0"/>
    <x v="230"/>
    <x v="52"/>
    <s v="Hyderabad"/>
  </r>
  <r>
    <n v="1359522"/>
    <n v="2023"/>
    <x v="15"/>
    <d v="2023-05-05T00:00:00"/>
    <s v="Rajasthan Royals"/>
    <s v="Gujarat Titans"/>
    <m/>
    <s v="Rajasthan Royals"/>
    <x v="1"/>
    <s v="Win"/>
    <x v="17"/>
    <x v="188"/>
    <x v="54"/>
    <s v="Jaipur"/>
  </r>
  <r>
    <n v="1359524"/>
    <n v="2023"/>
    <x v="15"/>
    <d v="2023-05-06T00:00:00"/>
    <s v="Royal Challengers Bangalore"/>
    <s v="Delhi Capitals"/>
    <m/>
    <s v="Royal Challengers Bangalore"/>
    <x v="1"/>
    <s v="Win"/>
    <x v="15"/>
    <x v="273"/>
    <x v="44"/>
    <s v="Delhi"/>
  </r>
  <r>
    <n v="1359523"/>
    <n v="2023"/>
    <x v="15"/>
    <d v="2023-05-06T00:00:00"/>
    <s v="Mumbai Indians"/>
    <s v="Chennai Super Kings"/>
    <m/>
    <s v="Chennai Super Kings"/>
    <x v="0"/>
    <s v="Win"/>
    <x v="1"/>
    <x v="274"/>
    <x v="41"/>
    <s v="Chennai"/>
  </r>
  <r>
    <n v="1359526"/>
    <n v="2023"/>
    <x v="15"/>
    <d v="2023-05-07T00:00:00"/>
    <s v="Rajasthan Royals"/>
    <s v="Sunrisers Hyderabad"/>
    <m/>
    <s v="Rajasthan Royals"/>
    <x v="1"/>
    <s v="Win"/>
    <x v="11"/>
    <x v="275"/>
    <x v="54"/>
    <s v="Jaipur"/>
  </r>
  <r>
    <n v="1359525"/>
    <n v="2023"/>
    <x v="15"/>
    <d v="2023-05-07T00:00:00"/>
    <s v="Gujarat Titans"/>
    <s v="Lucknow Super Giants"/>
    <m/>
    <s v="Lucknow Super Giants"/>
    <x v="0"/>
    <s v="Win"/>
    <x v="17"/>
    <x v="224"/>
    <x v="43"/>
    <s v="Ahmedabad"/>
  </r>
  <r>
    <n v="1359527"/>
    <n v="2023"/>
    <x v="15"/>
    <d v="2023-05-08T00:00:00"/>
    <s v="Punjab Kings"/>
    <s v="Kolkata Knight Riders"/>
    <m/>
    <s v="Punjab Kings"/>
    <x v="1"/>
    <s v="Win"/>
    <x v="0"/>
    <x v="165"/>
    <x v="48"/>
    <s v="Kolkata"/>
  </r>
  <r>
    <n v="1359528"/>
    <n v="2023"/>
    <x v="15"/>
    <d v="2023-05-09T00:00:00"/>
    <s v="Royal Challengers Bangalore"/>
    <s v="Mumbai Indians"/>
    <m/>
    <s v="Mumbai Indians"/>
    <x v="0"/>
    <s v="Win"/>
    <x v="7"/>
    <x v="178"/>
    <x v="42"/>
    <s v="Mumbai"/>
  </r>
  <r>
    <n v="1359529"/>
    <n v="2023"/>
    <x v="15"/>
    <d v="2023-05-10T00:00:00"/>
    <s v="Chennai Super Kings"/>
    <s v="Delhi Capitals"/>
    <m/>
    <s v="Chennai Super Kings"/>
    <x v="1"/>
    <s v="Win"/>
    <x v="1"/>
    <x v="120"/>
    <x v="41"/>
    <s v="Chennai"/>
  </r>
  <r>
    <n v="1359530"/>
    <n v="2023"/>
    <x v="15"/>
    <d v="2023-05-11T00:00:00"/>
    <s v="Kolkata Knight Riders"/>
    <s v="Rajasthan Royals"/>
    <m/>
    <s v="Rajasthan Royals"/>
    <x v="0"/>
    <s v="Win"/>
    <x v="4"/>
    <x v="258"/>
    <x v="48"/>
    <s v="Kolkata"/>
  </r>
  <r>
    <n v="1359531"/>
    <n v="2023"/>
    <x v="15"/>
    <d v="2023-05-12T00:00:00"/>
    <s v="Mumbai Indians"/>
    <s v="Gujarat Titans"/>
    <m/>
    <s v="Gujarat Titans"/>
    <x v="0"/>
    <s v="Win"/>
    <x v="7"/>
    <x v="178"/>
    <x v="42"/>
    <s v="Mumbai"/>
  </r>
  <r>
    <n v="1359532"/>
    <n v="2023"/>
    <x v="15"/>
    <d v="2023-05-13T00:00:00"/>
    <s v="Sunrisers Hyderabad"/>
    <s v="Lucknow Super Giants"/>
    <m/>
    <s v="Sunrisers Hyderabad"/>
    <x v="1"/>
    <s v="Win"/>
    <x v="18"/>
    <x v="276"/>
    <x v="52"/>
    <s v="Hyderabad"/>
  </r>
  <r>
    <n v="1359533"/>
    <n v="2023"/>
    <x v="15"/>
    <d v="2023-05-13T00:00:00"/>
    <s v="Punjab Kings"/>
    <s v="Delhi Capitals"/>
    <m/>
    <s v="Delhi Capitals"/>
    <x v="0"/>
    <s v="Win"/>
    <x v="16"/>
    <x v="277"/>
    <x v="44"/>
    <s v="Delhi"/>
  </r>
  <r>
    <n v="1359535"/>
    <n v="2023"/>
    <x v="15"/>
    <d v="2023-05-14T00:00:00"/>
    <s v="Chennai Super Kings"/>
    <s v="Kolkata Knight Riders"/>
    <m/>
    <s v="Chennai Super Kings"/>
    <x v="1"/>
    <s v="Win"/>
    <x v="0"/>
    <x v="256"/>
    <x v="41"/>
    <s v="Chennai"/>
  </r>
  <r>
    <n v="1359534"/>
    <n v="2023"/>
    <x v="15"/>
    <d v="2023-05-14T00:00:00"/>
    <s v="Royal Challengers Bangalore"/>
    <s v="Rajasthan Royals"/>
    <m/>
    <s v="Royal Challengers Bangalore"/>
    <x v="1"/>
    <s v="Win"/>
    <x v="3"/>
    <x v="278"/>
    <x v="54"/>
    <s v="Jaipur"/>
  </r>
  <r>
    <n v="1359536"/>
    <n v="2023"/>
    <x v="15"/>
    <d v="2023-05-15T00:00:00"/>
    <s v="Gujarat Titans"/>
    <s v="Sunrisers Hyderabad"/>
    <m/>
    <s v="Sunrisers Hyderabad"/>
    <x v="0"/>
    <s v="Win"/>
    <x v="17"/>
    <x v="224"/>
    <x v="43"/>
    <s v="Ahmedabad"/>
  </r>
  <r>
    <n v="1359537"/>
    <n v="2023"/>
    <x v="15"/>
    <d v="2023-05-16T00:00:00"/>
    <s v="Lucknow Super Giants"/>
    <s v="Mumbai Indians"/>
    <m/>
    <s v="Mumbai Indians"/>
    <x v="0"/>
    <s v="Win"/>
    <x v="18"/>
    <x v="183"/>
    <x v="49"/>
    <s v="Lucknow"/>
  </r>
  <r>
    <n v="1359538"/>
    <n v="2023"/>
    <x v="15"/>
    <d v="2023-05-17T00:00:00"/>
    <s v="Delhi Capitals"/>
    <s v="Punjab Kings"/>
    <m/>
    <s v="Punjab Kings"/>
    <x v="0"/>
    <s v="Win"/>
    <x v="15"/>
    <x v="279"/>
    <x v="55"/>
    <s v="Dharamsala"/>
  </r>
  <r>
    <n v="1359539"/>
    <n v="2023"/>
    <x v="15"/>
    <d v="2023-05-18T00:00:00"/>
    <s v="Sunrisers Hyderabad"/>
    <s v="Royal Challengers Bangalore"/>
    <m/>
    <s v="Royal Challengers Bangalore"/>
    <x v="0"/>
    <s v="Win"/>
    <x v="3"/>
    <x v="104"/>
    <x v="52"/>
    <s v="Hyderabad"/>
  </r>
  <r>
    <n v="1359540"/>
    <n v="2023"/>
    <x v="15"/>
    <d v="2023-05-19T00:00:00"/>
    <s v="Punjab Kings"/>
    <s v="Rajasthan Royals"/>
    <m/>
    <s v="Rajasthan Royals"/>
    <x v="0"/>
    <s v="Win"/>
    <x v="4"/>
    <x v="236"/>
    <x v="55"/>
    <s v="Dharamsala"/>
  </r>
  <r>
    <n v="1359541"/>
    <n v="2023"/>
    <x v="15"/>
    <d v="2023-05-20T00:00:00"/>
    <s v="Chennai Super Kings"/>
    <s v="Delhi Capitals"/>
    <m/>
    <s v="Chennai Super Kings"/>
    <x v="1"/>
    <s v="Win"/>
    <x v="1"/>
    <x v="232"/>
    <x v="44"/>
    <s v="Delhi"/>
  </r>
  <r>
    <n v="1359542"/>
    <n v="2023"/>
    <x v="15"/>
    <d v="2023-05-20T00:00:00"/>
    <s v="Lucknow Super Giants"/>
    <s v="Kolkata Knight Riders"/>
    <m/>
    <s v="Kolkata Knight Riders"/>
    <x v="0"/>
    <s v="Win"/>
    <x v="18"/>
    <x v="267"/>
    <x v="48"/>
    <s v="Kolkata"/>
  </r>
  <r>
    <n v="1359543"/>
    <n v="2023"/>
    <x v="15"/>
    <d v="2023-05-21T00:00:00"/>
    <s v="Sunrisers Hyderabad"/>
    <s v="Mumbai Indians"/>
    <m/>
    <s v="Mumbai Indians"/>
    <x v="0"/>
    <s v="Win"/>
    <x v="7"/>
    <x v="270"/>
    <x v="42"/>
    <s v="Mumbai"/>
  </r>
  <r>
    <n v="1359544"/>
    <n v="2023"/>
    <x v="15"/>
    <d v="2023-05-21T00:00:00"/>
    <s v="Royal Challengers Bangalore"/>
    <s v="Gujarat Titans"/>
    <m/>
    <s v="Gujarat Titans"/>
    <x v="0"/>
    <s v="Win"/>
    <x v="17"/>
    <x v="224"/>
    <x v="51"/>
    <s v="Bengaluru"/>
  </r>
  <r>
    <n v="1370350"/>
    <n v="2023"/>
    <x v="15"/>
    <d v="2023-05-23T00:00:00"/>
    <s v="Chennai Super Kings"/>
    <s v="Gujarat Titans"/>
    <m/>
    <s v="Gujarat Titans"/>
    <x v="0"/>
    <s v="Win"/>
    <x v="1"/>
    <x v="232"/>
    <x v="41"/>
    <s v="Chennai"/>
  </r>
  <r>
    <n v="1370351"/>
    <n v="2023"/>
    <x v="15"/>
    <d v="2023-05-24T00:00:00"/>
    <s v="Mumbai Indians"/>
    <s v="Lucknow Super Giants"/>
    <m/>
    <s v="Mumbai Indians"/>
    <x v="1"/>
    <s v="Win"/>
    <x v="7"/>
    <x v="280"/>
    <x v="41"/>
    <s v="Chennai"/>
  </r>
  <r>
    <n v="1370352"/>
    <n v="2023"/>
    <x v="15"/>
    <d v="2023-05-26T00:00:00"/>
    <s v="Gujarat Titans"/>
    <s v="Mumbai Indians"/>
    <m/>
    <s v="Mumbai Indians"/>
    <x v="0"/>
    <s v="Win"/>
    <x v="17"/>
    <x v="224"/>
    <x v="43"/>
    <s v="Ahmedabad"/>
  </r>
  <r>
    <n v="1370353"/>
    <n v="2023"/>
    <x v="15"/>
    <d v="2023-05-29T00:00:00"/>
    <s v="Gujarat Titans"/>
    <s v="Chennai Super Kings"/>
    <m/>
    <s v="Chennai Super Kings"/>
    <x v="0"/>
    <s v="Win"/>
    <x v="1"/>
    <x v="259"/>
    <x v="43"/>
    <s v="Ahmedabad"/>
  </r>
  <r>
    <n v="1422119"/>
    <n v="2024"/>
    <x v="16"/>
    <d v="2024-03-22T00:00:00"/>
    <s v="Royal Challengers Bengaluru"/>
    <s v="Chennai Super Kings"/>
    <m/>
    <s v="Royal Challengers Bengaluru"/>
    <x v="1"/>
    <s v="Win"/>
    <x v="1"/>
    <x v="177"/>
    <x v="41"/>
    <s v="Chennai"/>
  </r>
  <r>
    <n v="1422120"/>
    <n v="2024"/>
    <x v="16"/>
    <d v="2024-03-23T00:00:00"/>
    <s v="Delhi Capitals"/>
    <s v="Punjab Kings"/>
    <m/>
    <s v="Punjab Kings"/>
    <x v="0"/>
    <s v="Win"/>
    <x v="16"/>
    <x v="216"/>
    <x v="56"/>
    <s v="Mohali"/>
  </r>
  <r>
    <n v="1422121"/>
    <n v="2024"/>
    <x v="16"/>
    <d v="2024-03-23T00:00:00"/>
    <s v="Kolkata Knight Riders"/>
    <s v="Sunrisers Hyderabad"/>
    <m/>
    <s v="Sunrisers Hyderabad"/>
    <x v="0"/>
    <s v="Win"/>
    <x v="0"/>
    <x v="165"/>
    <x v="48"/>
    <s v="Kolkata"/>
  </r>
  <r>
    <n v="1422122"/>
    <n v="2024"/>
    <x v="16"/>
    <d v="2024-03-24T00:00:00"/>
    <s v="Rajasthan Royals"/>
    <s v="Lucknow Super Giants"/>
    <m/>
    <s v="Rajasthan Royals"/>
    <x v="1"/>
    <s v="Win"/>
    <x v="4"/>
    <x v="144"/>
    <x v="54"/>
    <s v="Jaipur"/>
  </r>
  <r>
    <n v="1422123"/>
    <n v="2024"/>
    <x v="16"/>
    <d v="2024-03-24T00:00:00"/>
    <s v="Gujarat Titans"/>
    <s v="Mumbai Indians"/>
    <m/>
    <s v="Mumbai Indians"/>
    <x v="0"/>
    <s v="Win"/>
    <x v="17"/>
    <x v="265"/>
    <x v="43"/>
    <s v="Ahmedabad"/>
  </r>
  <r>
    <n v="1422124"/>
    <n v="2024"/>
    <x v="16"/>
    <d v="2024-03-25T00:00:00"/>
    <s v="Punjab Kings"/>
    <s v="Royal Challengers Bengaluru"/>
    <m/>
    <s v="Royal Challengers Bengaluru"/>
    <x v="0"/>
    <s v="Win"/>
    <x v="19"/>
    <x v="104"/>
    <x v="51"/>
    <s v="Bengaluru"/>
  </r>
  <r>
    <n v="1422125"/>
    <n v="2024"/>
    <x v="16"/>
    <d v="2024-03-26T00:00:00"/>
    <s v="Chennai Super Kings"/>
    <s v="Gujarat Titans"/>
    <m/>
    <s v="Gujarat Titans"/>
    <x v="0"/>
    <s v="Win"/>
    <x v="1"/>
    <x v="250"/>
    <x v="41"/>
    <s v="Chennai"/>
  </r>
  <r>
    <n v="1422126"/>
    <n v="2024"/>
    <x v="16"/>
    <d v="2024-03-27T00:00:00"/>
    <s v="Sunrisers Hyderabad"/>
    <s v="Mumbai Indians"/>
    <m/>
    <s v="Mumbai Indians"/>
    <x v="0"/>
    <s v="Win"/>
    <x v="11"/>
    <x v="248"/>
    <x v="52"/>
    <s v="Hyderabad"/>
  </r>
  <r>
    <n v="1422127"/>
    <n v="2024"/>
    <x v="16"/>
    <d v="2024-03-28T00:00:00"/>
    <s v="Rajasthan Royals"/>
    <s v="Delhi Capitals"/>
    <m/>
    <s v="Delhi Capitals"/>
    <x v="0"/>
    <s v="Win"/>
    <x v="4"/>
    <x v="254"/>
    <x v="54"/>
    <s v="Jaipur"/>
  </r>
  <r>
    <n v="1422128"/>
    <n v="2024"/>
    <x v="16"/>
    <d v="2024-03-29T00:00:00"/>
    <s v="Royal Challengers Bengaluru"/>
    <s v="Kolkata Knight Riders"/>
    <m/>
    <s v="Kolkata Knight Riders"/>
    <x v="0"/>
    <s v="Win"/>
    <x v="0"/>
    <x v="127"/>
    <x v="51"/>
    <s v="Bengaluru"/>
  </r>
  <r>
    <n v="1422129"/>
    <n v="2024"/>
    <x v="16"/>
    <d v="2024-03-30T00:00:00"/>
    <s v="Lucknow Super Giants"/>
    <s v="Punjab Kings"/>
    <m/>
    <s v="Lucknow Super Giants"/>
    <x v="1"/>
    <s v="Win"/>
    <x v="18"/>
    <x v="281"/>
    <x v="49"/>
    <s v="Lucknow"/>
  </r>
  <r>
    <n v="1422130"/>
    <n v="2024"/>
    <x v="16"/>
    <d v="2024-03-31T00:00:00"/>
    <s v="Sunrisers Hyderabad"/>
    <s v="Gujarat Titans"/>
    <m/>
    <s v="Sunrisers Hyderabad"/>
    <x v="1"/>
    <s v="Win"/>
    <x v="17"/>
    <x v="154"/>
    <x v="43"/>
    <s v="Ahmedabad"/>
  </r>
  <r>
    <n v="1422131"/>
    <n v="2024"/>
    <x v="16"/>
    <d v="2024-03-31T00:00:00"/>
    <s v="Delhi Capitals"/>
    <s v="Chennai Super Kings"/>
    <m/>
    <s v="Delhi Capitals"/>
    <x v="1"/>
    <s v="Win"/>
    <x v="15"/>
    <x v="223"/>
    <x v="57"/>
    <s v="Visakhapatnam"/>
  </r>
  <r>
    <n v="1422132"/>
    <n v="2024"/>
    <x v="16"/>
    <d v="2024-04-01T00:00:00"/>
    <s v="Mumbai Indians"/>
    <s v="Rajasthan Royals"/>
    <m/>
    <s v="Rajasthan Royals"/>
    <x v="0"/>
    <s v="Win"/>
    <x v="4"/>
    <x v="169"/>
    <x v="42"/>
    <s v="Mumbai"/>
  </r>
  <r>
    <n v="1422133"/>
    <n v="2024"/>
    <x v="16"/>
    <d v="2024-04-02T00:00:00"/>
    <s v="Lucknow Super Giants"/>
    <s v="Royal Challengers Bengaluru"/>
    <m/>
    <s v="Royal Challengers Bengaluru"/>
    <x v="0"/>
    <s v="Win"/>
    <x v="18"/>
    <x v="281"/>
    <x v="51"/>
    <s v="Bengaluru"/>
  </r>
  <r>
    <n v="1422134"/>
    <n v="2024"/>
    <x v="16"/>
    <d v="2024-04-03T00:00:00"/>
    <s v="Kolkata Knight Riders"/>
    <s v="Delhi Capitals"/>
    <m/>
    <s v="Kolkata Knight Riders"/>
    <x v="1"/>
    <s v="Win"/>
    <x v="0"/>
    <x v="127"/>
    <x v="57"/>
    <s v="Visakhapatnam"/>
  </r>
  <r>
    <n v="1422135"/>
    <n v="2024"/>
    <x v="16"/>
    <d v="2024-04-04T00:00:00"/>
    <s v="Gujarat Titans"/>
    <s v="Punjab Kings"/>
    <m/>
    <s v="Punjab Kings"/>
    <x v="0"/>
    <s v="Win"/>
    <x v="16"/>
    <x v="282"/>
    <x v="43"/>
    <s v="Ahmedabad"/>
  </r>
  <r>
    <n v="1422136"/>
    <n v="2024"/>
    <x v="16"/>
    <d v="2024-04-05T00:00:00"/>
    <s v="Chennai Super Kings"/>
    <s v="Sunrisers Hyderabad"/>
    <m/>
    <s v="Sunrisers Hyderabad"/>
    <x v="0"/>
    <s v="Win"/>
    <x v="11"/>
    <x v="248"/>
    <x v="52"/>
    <s v="Hyderabad"/>
  </r>
  <r>
    <n v="1422137"/>
    <n v="2024"/>
    <x v="16"/>
    <d v="2024-04-06T00:00:00"/>
    <s v="Royal Challengers Bengaluru"/>
    <s v="Rajasthan Royals"/>
    <m/>
    <s v="Rajasthan Royals"/>
    <x v="0"/>
    <s v="Win"/>
    <x v="4"/>
    <x v="194"/>
    <x v="54"/>
    <s v="Jaipur"/>
  </r>
  <r>
    <n v="1422138"/>
    <n v="2024"/>
    <x v="16"/>
    <d v="2024-04-07T00:00:00"/>
    <s v="Mumbai Indians"/>
    <s v="Delhi Capitals"/>
    <m/>
    <s v="Delhi Capitals"/>
    <x v="0"/>
    <s v="Win"/>
    <x v="7"/>
    <x v="283"/>
    <x v="42"/>
    <s v="Mumbai"/>
  </r>
  <r>
    <n v="1422139"/>
    <n v="2024"/>
    <x v="16"/>
    <d v="2024-04-07T00:00:00"/>
    <s v="Lucknow Super Giants"/>
    <s v="Gujarat Titans"/>
    <m/>
    <s v="Lucknow Super Giants"/>
    <x v="1"/>
    <s v="Win"/>
    <x v="18"/>
    <x v="284"/>
    <x v="49"/>
    <s v="Lucknow"/>
  </r>
  <r>
    <n v="1426260"/>
    <n v="2024"/>
    <x v="16"/>
    <d v="2024-04-08T00:00:00"/>
    <s v="Kolkata Knight Riders"/>
    <s v="Chennai Super Kings"/>
    <m/>
    <s v="Chennai Super Kings"/>
    <x v="0"/>
    <s v="Win"/>
    <x v="1"/>
    <x v="120"/>
    <x v="41"/>
    <s v="Chennai"/>
  </r>
  <r>
    <n v="1426261"/>
    <n v="2024"/>
    <x v="16"/>
    <d v="2024-04-09T00:00:00"/>
    <s v="Sunrisers Hyderabad"/>
    <s v="Punjab Kings"/>
    <m/>
    <s v="Punjab Kings"/>
    <x v="0"/>
    <s v="Win"/>
    <x v="11"/>
    <x v="285"/>
    <x v="56"/>
    <s v="Mohali"/>
  </r>
  <r>
    <n v="1426262"/>
    <n v="2024"/>
    <x v="16"/>
    <d v="2024-04-10T00:00:00"/>
    <s v="Rajasthan Royals"/>
    <s v="Gujarat Titans"/>
    <m/>
    <s v="Gujarat Titans"/>
    <x v="0"/>
    <s v="Win"/>
    <x v="17"/>
    <x v="188"/>
    <x v="54"/>
    <s v="Jaipur"/>
  </r>
  <r>
    <n v="1426263"/>
    <n v="2024"/>
    <x v="16"/>
    <d v="2024-04-11T00:00:00"/>
    <s v="Royal Challengers Bengaluru"/>
    <s v="Mumbai Indians"/>
    <m/>
    <s v="Mumbai Indians"/>
    <x v="0"/>
    <s v="Win"/>
    <x v="7"/>
    <x v="190"/>
    <x v="42"/>
    <s v="Mumbai"/>
  </r>
  <r>
    <n v="1426264"/>
    <n v="2024"/>
    <x v="16"/>
    <d v="2024-04-12T00:00:00"/>
    <s v="Lucknow Super Giants"/>
    <s v="Delhi Capitals"/>
    <m/>
    <s v="Lucknow Super Giants"/>
    <x v="1"/>
    <s v="Win"/>
    <x v="15"/>
    <x v="211"/>
    <x v="49"/>
    <s v="Lucknow"/>
  </r>
  <r>
    <n v="1426265"/>
    <n v="2024"/>
    <x v="16"/>
    <d v="2024-04-13T00:00:00"/>
    <s v="Punjab Kings"/>
    <s v="Rajasthan Royals"/>
    <m/>
    <s v="Rajasthan Royals"/>
    <x v="0"/>
    <s v="Win"/>
    <x v="4"/>
    <x v="225"/>
    <x v="56"/>
    <s v="Mohali"/>
  </r>
  <r>
    <n v="1426266"/>
    <n v="2024"/>
    <x v="16"/>
    <d v="2024-04-14T00:00:00"/>
    <s v="Lucknow Super Giants"/>
    <s v="Kolkata Knight Riders"/>
    <m/>
    <s v="Kolkata Knight Riders"/>
    <x v="0"/>
    <s v="Win"/>
    <x v="0"/>
    <x v="273"/>
    <x v="48"/>
    <s v="Kolkata"/>
  </r>
  <r>
    <n v="1426267"/>
    <n v="2024"/>
    <x v="16"/>
    <d v="2024-04-14T00:00:00"/>
    <s v="Chennai Super Kings"/>
    <s v="Mumbai Indians"/>
    <m/>
    <s v="Mumbai Indians"/>
    <x v="0"/>
    <s v="Win"/>
    <x v="1"/>
    <x v="274"/>
    <x v="42"/>
    <s v="Mumbai"/>
  </r>
  <r>
    <n v="1426268"/>
    <n v="2024"/>
    <x v="16"/>
    <d v="2024-04-15T00:00:00"/>
    <s v="Sunrisers Hyderabad"/>
    <s v="Royal Challengers Bengaluru"/>
    <m/>
    <s v="Royal Challengers Bengaluru"/>
    <x v="0"/>
    <s v="Win"/>
    <x v="11"/>
    <x v="286"/>
    <x v="51"/>
    <s v="Bengaluru"/>
  </r>
  <r>
    <n v="1426269"/>
    <n v="2024"/>
    <x v="16"/>
    <d v="2024-04-16T00:00:00"/>
    <s v="Kolkata Knight Riders"/>
    <s v="Rajasthan Royals"/>
    <m/>
    <s v="Rajasthan Royals"/>
    <x v="0"/>
    <s v="Win"/>
    <x v="4"/>
    <x v="194"/>
    <x v="48"/>
    <s v="Kolkata"/>
  </r>
  <r>
    <n v="1426270"/>
    <n v="2024"/>
    <x v="16"/>
    <d v="2024-04-17T00:00:00"/>
    <s v="Gujarat Titans"/>
    <s v="Delhi Capitals"/>
    <m/>
    <s v="Delhi Capitals"/>
    <x v="0"/>
    <s v="Win"/>
    <x v="15"/>
    <x v="182"/>
    <x v="43"/>
    <s v="Ahmedabad"/>
  </r>
  <r>
    <n v="1426271"/>
    <n v="2024"/>
    <x v="16"/>
    <d v="2024-04-18T00:00:00"/>
    <s v="Mumbai Indians"/>
    <s v="Punjab Kings"/>
    <m/>
    <s v="Punjab Kings"/>
    <x v="0"/>
    <s v="Win"/>
    <x v="7"/>
    <x v="190"/>
    <x v="56"/>
    <s v="Mohali"/>
  </r>
  <r>
    <n v="1426272"/>
    <n v="2024"/>
    <x v="16"/>
    <d v="2024-04-19T00:00:00"/>
    <s v="Chennai Super Kings"/>
    <s v="Lucknow Super Giants"/>
    <m/>
    <s v="Lucknow Super Giants"/>
    <x v="0"/>
    <s v="Win"/>
    <x v="18"/>
    <x v="202"/>
    <x v="49"/>
    <s v="Lucknow"/>
  </r>
  <r>
    <n v="1426273"/>
    <n v="2024"/>
    <x v="16"/>
    <d v="2024-04-20T00:00:00"/>
    <s v="Sunrisers Hyderabad"/>
    <s v="Delhi Capitals"/>
    <m/>
    <s v="Delhi Capitals"/>
    <x v="0"/>
    <s v="Win"/>
    <x v="11"/>
    <x v="286"/>
    <x v="44"/>
    <s v="Delhi"/>
  </r>
  <r>
    <n v="1426275"/>
    <n v="2024"/>
    <x v="16"/>
    <d v="2024-04-21T00:00:00"/>
    <s v="Punjab Kings"/>
    <s v="Gujarat Titans"/>
    <m/>
    <s v="Punjab Kings"/>
    <x v="1"/>
    <s v="Win"/>
    <x v="17"/>
    <x v="287"/>
    <x v="56"/>
    <s v="Mohali"/>
  </r>
  <r>
    <n v="1426274"/>
    <n v="2024"/>
    <x v="16"/>
    <d v="2024-04-21T00:00:00"/>
    <s v="Kolkata Knight Riders"/>
    <s v="Royal Challengers Bengaluru"/>
    <m/>
    <s v="Royal Challengers Bengaluru"/>
    <x v="0"/>
    <s v="Win"/>
    <x v="0"/>
    <x v="165"/>
    <x v="48"/>
    <s v="Kolkata"/>
  </r>
  <r>
    <n v="1426276"/>
    <n v="2024"/>
    <x v="16"/>
    <d v="2024-04-22T00:00:00"/>
    <s v="Mumbai Indians"/>
    <s v="Rajasthan Royals"/>
    <m/>
    <s v="Mumbai Indians"/>
    <x v="1"/>
    <s v="Win"/>
    <x v="4"/>
    <x v="155"/>
    <x v="54"/>
    <s v="Jaipur"/>
  </r>
  <r>
    <n v="1426277"/>
    <n v="2024"/>
    <x v="16"/>
    <d v="2024-04-23T00:00:00"/>
    <s v="Chennai Super Kings"/>
    <s v="Lucknow Super Giants"/>
    <m/>
    <s v="Lucknow Super Giants"/>
    <x v="0"/>
    <s v="Win"/>
    <x v="18"/>
    <x v="183"/>
    <x v="41"/>
    <s v="Chennai"/>
  </r>
  <r>
    <n v="1426278"/>
    <n v="2024"/>
    <x v="16"/>
    <d v="2024-04-24T00:00:00"/>
    <s v="Delhi Capitals"/>
    <s v="Gujarat Titans"/>
    <m/>
    <s v="Gujarat Titans"/>
    <x v="0"/>
    <s v="Win"/>
    <x v="15"/>
    <x v="182"/>
    <x v="44"/>
    <s v="Delhi"/>
  </r>
  <r>
    <n v="1426279"/>
    <n v="2024"/>
    <x v="16"/>
    <d v="2024-04-25T00:00:00"/>
    <s v="Royal Challengers Bengaluru"/>
    <s v="Sunrisers Hyderabad"/>
    <m/>
    <s v="Royal Challengers Bengaluru"/>
    <x v="1"/>
    <s v="Win"/>
    <x v="19"/>
    <x v="262"/>
    <x v="52"/>
    <s v="Hyderabad"/>
  </r>
  <r>
    <n v="1426280"/>
    <n v="2024"/>
    <x v="16"/>
    <d v="2024-04-26T00:00:00"/>
    <s v="Kolkata Knight Riders"/>
    <s v="Punjab Kings"/>
    <m/>
    <s v="Punjab Kings"/>
    <x v="0"/>
    <s v="Win"/>
    <x v="16"/>
    <x v="215"/>
    <x v="48"/>
    <s v="Kolkata"/>
  </r>
  <r>
    <n v="1426281"/>
    <n v="2024"/>
    <x v="16"/>
    <d v="2024-04-27T00:00:00"/>
    <s v="Delhi Capitals"/>
    <s v="Mumbai Indians"/>
    <m/>
    <s v="Mumbai Indians"/>
    <x v="0"/>
    <s v="Win"/>
    <x v="15"/>
    <x v="288"/>
    <x v="44"/>
    <s v="Delhi"/>
  </r>
  <r>
    <n v="1426282"/>
    <n v="2024"/>
    <x v="16"/>
    <d v="2024-04-27T00:00:00"/>
    <s v="Lucknow Super Giants"/>
    <s v="Rajasthan Royals"/>
    <m/>
    <s v="Rajasthan Royals"/>
    <x v="0"/>
    <s v="Win"/>
    <x v="4"/>
    <x v="144"/>
    <x v="49"/>
    <s v="Lucknow"/>
  </r>
  <r>
    <n v="1426284"/>
    <n v="2024"/>
    <x v="16"/>
    <d v="2024-04-28T00:00:00"/>
    <s v="Chennai Super Kings"/>
    <s v="Sunrisers Hyderabad"/>
    <m/>
    <s v="Sunrisers Hyderabad"/>
    <x v="0"/>
    <s v="Win"/>
    <x v="1"/>
    <x v="232"/>
    <x v="41"/>
    <s v="Chennai"/>
  </r>
  <r>
    <n v="1426283"/>
    <n v="2024"/>
    <x v="16"/>
    <d v="2024-04-28T00:00:00"/>
    <s v="Gujarat Titans"/>
    <s v="Royal Challengers Bengaluru"/>
    <m/>
    <s v="Royal Challengers Bengaluru"/>
    <x v="0"/>
    <s v="Win"/>
    <x v="19"/>
    <x v="289"/>
    <x v="43"/>
    <s v="Ahmedabad"/>
  </r>
  <r>
    <n v="1426285"/>
    <n v="2024"/>
    <x v="16"/>
    <d v="2024-04-29T00:00:00"/>
    <s v="Delhi Capitals"/>
    <s v="Kolkata Knight Riders"/>
    <m/>
    <s v="Delhi Capitals"/>
    <x v="1"/>
    <s v="Win"/>
    <x v="0"/>
    <x v="230"/>
    <x v="48"/>
    <s v="Kolkata"/>
  </r>
  <r>
    <n v="1426286"/>
    <n v="2024"/>
    <x v="16"/>
    <d v="2024-04-30T00:00:00"/>
    <s v="Mumbai Indians"/>
    <s v="Lucknow Super Giants"/>
    <m/>
    <s v="Lucknow Super Giants"/>
    <x v="0"/>
    <s v="Win"/>
    <x v="18"/>
    <x v="183"/>
    <x v="49"/>
    <s v="Lucknow"/>
  </r>
  <r>
    <n v="1426287"/>
    <n v="2024"/>
    <x v="16"/>
    <d v="2024-05-01T00:00:00"/>
    <s v="Chennai Super Kings"/>
    <s v="Punjab Kings"/>
    <m/>
    <s v="Punjab Kings"/>
    <x v="0"/>
    <s v="Win"/>
    <x v="16"/>
    <x v="237"/>
    <x v="41"/>
    <s v="Chennai"/>
  </r>
  <r>
    <n v="1426288"/>
    <n v="2024"/>
    <x v="16"/>
    <d v="2024-05-02T00:00:00"/>
    <s v="Sunrisers Hyderabad"/>
    <s v="Rajasthan Royals"/>
    <m/>
    <s v="Sunrisers Hyderabad"/>
    <x v="1"/>
    <s v="Win"/>
    <x v="11"/>
    <x v="157"/>
    <x v="52"/>
    <s v="Hyderabad"/>
  </r>
  <r>
    <n v="1426289"/>
    <n v="2024"/>
    <x v="16"/>
    <d v="2024-05-03T00:00:00"/>
    <s v="Kolkata Knight Riders"/>
    <s v="Mumbai Indians"/>
    <m/>
    <s v="Mumbai Indians"/>
    <x v="0"/>
    <s v="Win"/>
    <x v="0"/>
    <x v="242"/>
    <x v="42"/>
    <s v="Mumbai"/>
  </r>
  <r>
    <n v="1426290"/>
    <n v="2024"/>
    <x v="16"/>
    <d v="2024-05-04T00:00:00"/>
    <s v="Gujarat Titans"/>
    <s v="Royal Challengers Bengaluru"/>
    <m/>
    <s v="Royal Challengers Bengaluru"/>
    <x v="0"/>
    <s v="Win"/>
    <x v="19"/>
    <x v="198"/>
    <x v="51"/>
    <s v="Bengaluru"/>
  </r>
  <r>
    <n v="1426292"/>
    <n v="2024"/>
    <x v="16"/>
    <d v="2024-05-05T00:00:00"/>
    <s v="Kolkata Knight Riders"/>
    <s v="Lucknow Super Giants"/>
    <m/>
    <s v="Lucknow Super Giants"/>
    <x v="0"/>
    <s v="Win"/>
    <x v="0"/>
    <x v="127"/>
    <x v="49"/>
    <s v="Lucknow"/>
  </r>
  <r>
    <n v="1426291"/>
    <n v="2024"/>
    <x v="16"/>
    <d v="2024-05-05T00:00:00"/>
    <s v="Chennai Super Kings"/>
    <s v="Punjab Kings"/>
    <m/>
    <s v="Punjab Kings"/>
    <x v="0"/>
    <s v="Win"/>
    <x v="1"/>
    <x v="120"/>
    <x v="55"/>
    <s v="Dharamsala"/>
  </r>
  <r>
    <n v="1426293"/>
    <n v="2024"/>
    <x v="16"/>
    <d v="2024-05-06T00:00:00"/>
    <s v="Sunrisers Hyderabad"/>
    <s v="Mumbai Indians"/>
    <m/>
    <s v="Mumbai Indians"/>
    <x v="0"/>
    <s v="Win"/>
    <x v="7"/>
    <x v="178"/>
    <x v="42"/>
    <s v="Mumbai"/>
  </r>
  <r>
    <n v="1426294"/>
    <n v="2024"/>
    <x v="16"/>
    <d v="2024-05-07T00:00:00"/>
    <s v="Delhi Capitals"/>
    <s v="Rajasthan Royals"/>
    <m/>
    <s v="Rajasthan Royals"/>
    <x v="0"/>
    <s v="Win"/>
    <x v="15"/>
    <x v="211"/>
    <x v="44"/>
    <s v="Delhi"/>
  </r>
  <r>
    <n v="1426295"/>
    <n v="2024"/>
    <x v="16"/>
    <d v="2024-05-08T00:00:00"/>
    <s v="Lucknow Super Giants"/>
    <s v="Sunrisers Hyderabad"/>
    <m/>
    <s v="Lucknow Super Giants"/>
    <x v="1"/>
    <s v="Win"/>
    <x v="11"/>
    <x v="286"/>
    <x v="52"/>
    <s v="Hyderabad"/>
  </r>
  <r>
    <n v="1426296"/>
    <n v="2024"/>
    <x v="16"/>
    <d v="2024-05-09T00:00:00"/>
    <s v="Royal Challengers Bengaluru"/>
    <s v="Punjab Kings"/>
    <m/>
    <s v="Punjab Kings"/>
    <x v="0"/>
    <s v="Win"/>
    <x v="19"/>
    <x v="104"/>
    <x v="55"/>
    <s v="Dharamsala"/>
  </r>
  <r>
    <n v="1426297"/>
    <n v="2024"/>
    <x v="16"/>
    <d v="2024-05-10T00:00:00"/>
    <s v="Gujarat Titans"/>
    <s v="Chennai Super Kings"/>
    <m/>
    <s v="Chennai Super Kings"/>
    <x v="0"/>
    <s v="Win"/>
    <x v="17"/>
    <x v="224"/>
    <x v="43"/>
    <s v="Ahmedabad"/>
  </r>
  <r>
    <n v="1426298"/>
    <n v="2024"/>
    <x v="16"/>
    <d v="2024-05-11T00:00:00"/>
    <s v="Kolkata Knight Riders"/>
    <s v="Mumbai Indians"/>
    <m/>
    <s v="Mumbai Indians"/>
    <x v="0"/>
    <s v="Win"/>
    <x v="0"/>
    <x v="230"/>
    <x v="48"/>
    <s v="Kolkata"/>
  </r>
  <r>
    <n v="1426299"/>
    <n v="2024"/>
    <x v="16"/>
    <d v="2024-05-12T00:00:00"/>
    <s v="Rajasthan Royals"/>
    <s v="Chennai Super Kings"/>
    <m/>
    <s v="Rajasthan Royals"/>
    <x v="1"/>
    <s v="Win"/>
    <x v="1"/>
    <x v="290"/>
    <x v="41"/>
    <s v="Chennai"/>
  </r>
  <r>
    <n v="1426300"/>
    <n v="2024"/>
    <x v="16"/>
    <d v="2024-05-12T00:00:00"/>
    <s v="Royal Challengers Bengaluru"/>
    <s v="Delhi Capitals"/>
    <m/>
    <s v="Delhi Capitals"/>
    <x v="0"/>
    <s v="Win"/>
    <x v="19"/>
    <x v="270"/>
    <x v="51"/>
    <s v="Bengaluru"/>
  </r>
  <r>
    <n v="1426302"/>
    <n v="2024"/>
    <x v="16"/>
    <d v="2024-05-14T00:00:00"/>
    <s v="Delhi Capitals"/>
    <s v="Lucknow Super Giants"/>
    <m/>
    <s v="Lucknow Super Giants"/>
    <x v="0"/>
    <s v="Win"/>
    <x v="15"/>
    <x v="105"/>
    <x v="44"/>
    <s v="Delhi"/>
  </r>
  <r>
    <n v="1426303"/>
    <n v="2024"/>
    <x v="16"/>
    <d v="2024-05-15T00:00:00"/>
    <s v="Rajasthan Royals"/>
    <s v="Punjab Kings"/>
    <m/>
    <s v="Rajasthan Royals"/>
    <x v="1"/>
    <s v="Win"/>
    <x v="16"/>
    <x v="216"/>
    <x v="53"/>
    <s v="Guwahati"/>
  </r>
  <r>
    <n v="1426305"/>
    <n v="2024"/>
    <x v="16"/>
    <d v="2024-05-17T00:00:00"/>
    <s v="Lucknow Super Giants"/>
    <s v="Mumbai Indians"/>
    <m/>
    <s v="Mumbai Indians"/>
    <x v="0"/>
    <s v="Win"/>
    <x v="18"/>
    <x v="267"/>
    <x v="42"/>
    <s v="Mumbai"/>
  </r>
  <r>
    <n v="1426306"/>
    <n v="2024"/>
    <x v="16"/>
    <d v="2024-05-18T00:00:00"/>
    <s v="Royal Challengers Bengaluru"/>
    <s v="Chennai Super Kings"/>
    <m/>
    <s v="Chennai Super Kings"/>
    <x v="0"/>
    <s v="Win"/>
    <x v="19"/>
    <x v="124"/>
    <x v="51"/>
    <s v="Bengaluru"/>
  </r>
  <r>
    <n v="1426307"/>
    <n v="2024"/>
    <x v="16"/>
    <d v="2024-05-19T00:00:00"/>
    <s v="Punjab Kings"/>
    <s v="Sunrisers Hyderabad"/>
    <m/>
    <s v="Punjab Kings"/>
    <x v="1"/>
    <s v="Win"/>
    <x v="11"/>
    <x v="248"/>
    <x v="52"/>
    <s v="Hyderabad"/>
  </r>
  <r>
    <n v="1426309"/>
    <n v="2024"/>
    <x v="16"/>
    <d v="2024-05-21T00:00:00"/>
    <s v="Sunrisers Hyderabad"/>
    <s v="Kolkata Knight Riders"/>
    <m/>
    <s v="Sunrisers Hyderabad"/>
    <x v="1"/>
    <s v="Win"/>
    <x v="0"/>
    <x v="167"/>
    <x v="43"/>
    <s v="Ahmedabad"/>
  </r>
  <r>
    <n v="1426310"/>
    <n v="2024"/>
    <x v="16"/>
    <d v="2024-05-22T00:00:00"/>
    <s v="Royal Challengers Bengaluru"/>
    <s v="Rajasthan Royals"/>
    <m/>
    <s v="Rajasthan Royals"/>
    <x v="0"/>
    <s v="Win"/>
    <x v="4"/>
    <x v="90"/>
    <x v="43"/>
    <s v="Ahmedabad"/>
  </r>
  <r>
    <n v="1426311"/>
    <n v="2024"/>
    <x v="16"/>
    <d v="2024-05-24T00:00:00"/>
    <s v="Sunrisers Hyderabad"/>
    <s v="Rajasthan Royals"/>
    <m/>
    <s v="Rajasthan Royals"/>
    <x v="0"/>
    <s v="Win"/>
    <x v="11"/>
    <x v="291"/>
    <x v="41"/>
    <s v="Chennai"/>
  </r>
  <r>
    <n v="1426312"/>
    <n v="2024"/>
    <x v="16"/>
    <d v="2024-05-26T00:00:00"/>
    <s v="Sunrisers Hyderabad"/>
    <s v="Kolkata Knight Riders"/>
    <m/>
    <s v="Sunrisers Hyderabad"/>
    <x v="1"/>
    <s v="Win"/>
    <x v="0"/>
    <x v="167"/>
    <x v="41"/>
    <s v="Chennai"/>
  </r>
  <r>
    <n v="1473438"/>
    <n v="2025"/>
    <x v="17"/>
    <d v="2025-03-22T00:00:00"/>
    <s v="Kolkata Knight Riders"/>
    <s v="Royal Challengers Bengaluru"/>
    <m/>
    <s v="Royal Challengers Bengaluru"/>
    <x v="0"/>
    <s v="Win"/>
    <x v="19"/>
    <x v="185"/>
    <x v="48"/>
    <s v="Kolkata"/>
  </r>
  <r>
    <n v="1473440"/>
    <n v="2025"/>
    <x v="17"/>
    <d v="2025-03-23T00:00:00"/>
    <s v="Mumbai Indians"/>
    <s v="Chennai Super Kings"/>
    <m/>
    <s v="Chennai Super Kings"/>
    <x v="0"/>
    <s v="Win"/>
    <x v="1"/>
    <x v="292"/>
    <x v="41"/>
    <s v="Chennai"/>
  </r>
  <r>
    <n v="1473439"/>
    <n v="2025"/>
    <x v="17"/>
    <d v="2025-03-23T00:00:00"/>
    <s v="Sunrisers Hyderabad"/>
    <s v="Rajasthan Royals"/>
    <m/>
    <s v="Rajasthan Royals"/>
    <x v="0"/>
    <s v="Win"/>
    <x v="11"/>
    <x v="210"/>
    <x v="52"/>
    <s v="Hyderabad"/>
  </r>
  <r>
    <n v="1473441"/>
    <n v="2025"/>
    <x v="17"/>
    <d v="2025-03-24T00:00:00"/>
    <s v="Lucknow Super Giants"/>
    <s v="Delhi Capitals"/>
    <m/>
    <s v="Delhi Capitals"/>
    <x v="0"/>
    <s v="Win"/>
    <x v="15"/>
    <x v="293"/>
    <x v="57"/>
    <s v="Visakhapatnam"/>
  </r>
  <r>
    <n v="1473442"/>
    <n v="2025"/>
    <x v="17"/>
    <d v="2025-03-25T00:00:00"/>
    <s v="Punjab Kings"/>
    <s v="Gujarat Titans"/>
    <m/>
    <s v="Gujarat Titans"/>
    <x v="0"/>
    <s v="Win"/>
    <x v="16"/>
    <x v="166"/>
    <x v="43"/>
    <s v="Ahmedabad"/>
  </r>
  <r>
    <n v="1473443"/>
    <n v="2025"/>
    <x v="17"/>
    <d v="2025-03-26T00:00:00"/>
    <s v="Rajasthan Royals"/>
    <s v="Kolkata Knight Riders"/>
    <m/>
    <s v="Kolkata Knight Riders"/>
    <x v="0"/>
    <s v="Win"/>
    <x v="0"/>
    <x v="176"/>
    <x v="53"/>
    <s v="Guwahati"/>
  </r>
  <r>
    <n v="1473444"/>
    <n v="2025"/>
    <x v="17"/>
    <d v="2025-03-27T00:00:00"/>
    <s v="Sunrisers Hyderabad"/>
    <s v="Lucknow Super Giants"/>
    <m/>
    <s v="Lucknow Super Giants"/>
    <x v="0"/>
    <s v="Win"/>
    <x v="18"/>
    <x v="261"/>
    <x v="52"/>
    <s v="Hyderabad"/>
  </r>
  <r>
    <n v="1473445"/>
    <n v="2025"/>
    <x v="17"/>
    <d v="2025-03-28T00:00:00"/>
    <s v="Royal Challengers Bengaluru"/>
    <s v="Chennai Super Kings"/>
    <m/>
    <s v="Chennai Super Kings"/>
    <x v="0"/>
    <s v="Win"/>
    <x v="19"/>
    <x v="262"/>
    <x v="41"/>
    <s v="Chennai"/>
  </r>
  <r>
    <n v="1473446"/>
    <n v="2025"/>
    <x v="17"/>
    <d v="2025-03-29T00:00:00"/>
    <s v="Gujarat Titans"/>
    <s v="Mumbai Indians"/>
    <m/>
    <s v="Mumbai Indians"/>
    <x v="0"/>
    <s v="Win"/>
    <x v="17"/>
    <x v="294"/>
    <x v="43"/>
    <s v="Ahmedabad"/>
  </r>
  <r>
    <n v="1473448"/>
    <n v="2025"/>
    <x v="17"/>
    <d v="2025-03-30T00:00:00"/>
    <s v="Rajasthan Royals"/>
    <s v="Chennai Super Kings"/>
    <m/>
    <s v="Chennai Super Kings"/>
    <x v="0"/>
    <s v="Win"/>
    <x v="4"/>
    <x v="189"/>
    <x v="53"/>
    <s v="Guwahati"/>
  </r>
  <r>
    <n v="1473447"/>
    <n v="2025"/>
    <x v="17"/>
    <d v="2025-03-30T00:00:00"/>
    <s v="Sunrisers Hyderabad"/>
    <s v="Delhi Capitals"/>
    <m/>
    <s v="Sunrisers Hyderabad"/>
    <x v="1"/>
    <s v="Win"/>
    <x v="15"/>
    <x v="167"/>
    <x v="57"/>
    <s v="Visakhapatnam"/>
  </r>
  <r>
    <n v="1473449"/>
    <n v="2025"/>
    <x v="17"/>
    <d v="2025-03-31T00:00:00"/>
    <s v="Kolkata Knight Riders"/>
    <s v="Mumbai Indians"/>
    <m/>
    <s v="Mumbai Indians"/>
    <x v="0"/>
    <s v="Win"/>
    <x v="7"/>
    <x v="295"/>
    <x v="42"/>
    <s v="Mumbai"/>
  </r>
  <r>
    <n v="1473450"/>
    <n v="2025"/>
    <x v="17"/>
    <d v="2025-04-01T00:00:00"/>
    <s v="Lucknow Super Giants"/>
    <s v="Punjab Kings"/>
    <m/>
    <s v="Punjab Kings"/>
    <x v="0"/>
    <s v="Win"/>
    <x v="16"/>
    <x v="277"/>
    <x v="49"/>
    <s v="Lucknow"/>
  </r>
  <r>
    <n v="1473451"/>
    <n v="2025"/>
    <x v="17"/>
    <d v="2025-04-02T00:00:00"/>
    <s v="Royal Challengers Bengaluru"/>
    <s v="Gujarat Titans"/>
    <m/>
    <s v="Gujarat Titans"/>
    <x v="0"/>
    <s v="Win"/>
    <x v="17"/>
    <x v="198"/>
    <x v="51"/>
    <s v="Bengaluru"/>
  </r>
  <r>
    <n v="1473452"/>
    <n v="2025"/>
    <x v="17"/>
    <d v="2025-04-03T00:00:00"/>
    <s v="Kolkata Knight Riders"/>
    <s v="Sunrisers Hyderabad"/>
    <m/>
    <s v="Sunrisers Hyderabad"/>
    <x v="0"/>
    <s v="Win"/>
    <x v="0"/>
    <x v="296"/>
    <x v="48"/>
    <s v="Kolkata"/>
  </r>
  <r>
    <n v="1473453"/>
    <n v="2025"/>
    <x v="17"/>
    <d v="2025-04-04T00:00:00"/>
    <s v="Lucknow Super Giants"/>
    <s v="Mumbai Indians"/>
    <m/>
    <s v="Mumbai Indians"/>
    <x v="0"/>
    <s v="Win"/>
    <x v="18"/>
    <x v="297"/>
    <x v="49"/>
    <s v="Lucknow"/>
  </r>
  <r>
    <n v="1473454"/>
    <n v="2025"/>
    <x v="17"/>
    <d v="2025-04-05T00:00:00"/>
    <s v="Delhi Capitals"/>
    <s v="Chennai Super Kings"/>
    <m/>
    <s v="Delhi Capitals"/>
    <x v="1"/>
    <s v="Win"/>
    <x v="15"/>
    <x v="202"/>
    <x v="41"/>
    <s v="Chennai"/>
  </r>
  <r>
    <n v="1473455"/>
    <n v="2025"/>
    <x v="17"/>
    <d v="2025-04-05T00:00:00"/>
    <s v="Rajasthan Royals"/>
    <s v="Punjab Kings"/>
    <m/>
    <s v="Punjab Kings"/>
    <x v="0"/>
    <s v="Win"/>
    <x v="4"/>
    <x v="206"/>
    <x v="56"/>
    <s v="Mohali"/>
  </r>
  <r>
    <n v="1473457"/>
    <n v="2025"/>
    <x v="17"/>
    <d v="2025-04-06T00:00:00"/>
    <s v="Sunrisers Hyderabad"/>
    <s v="Gujarat Titans"/>
    <m/>
    <s v="Gujarat Titans"/>
    <x v="0"/>
    <s v="Win"/>
    <x v="17"/>
    <x v="198"/>
    <x v="52"/>
    <s v="Hyderabad"/>
  </r>
  <r>
    <n v="1473458"/>
    <n v="2025"/>
    <x v="17"/>
    <d v="2025-04-07T00:00:00"/>
    <s v="Royal Challengers Bengaluru"/>
    <s v="Mumbai Indians"/>
    <m/>
    <s v="Mumbai Indians"/>
    <x v="0"/>
    <s v="Win"/>
    <x v="19"/>
    <x v="262"/>
    <x v="42"/>
    <s v="Mumbai"/>
  </r>
  <r>
    <n v="1473456"/>
    <n v="2025"/>
    <x v="17"/>
    <d v="2025-04-08T00:00:00"/>
    <s v="Lucknow Super Giants"/>
    <s v="Kolkata Knight Riders"/>
    <m/>
    <s v="Kolkata Knight Riders"/>
    <x v="0"/>
    <s v="Win"/>
    <x v="18"/>
    <x v="267"/>
    <x v="48"/>
    <s v="Kolkata"/>
  </r>
  <r>
    <n v="1473459"/>
    <n v="2025"/>
    <x v="17"/>
    <d v="2025-04-08T00:00:00"/>
    <s v="Punjab Kings"/>
    <s v="Chennai Super Kings"/>
    <m/>
    <s v="Punjab Kings"/>
    <x v="1"/>
    <s v="Win"/>
    <x v="16"/>
    <x v="298"/>
    <x v="56"/>
    <s v="Mohali"/>
  </r>
  <r>
    <n v="1473460"/>
    <n v="2025"/>
    <x v="17"/>
    <d v="2025-04-09T00:00:00"/>
    <s v="Gujarat Titans"/>
    <s v="Rajasthan Royals"/>
    <m/>
    <s v="Rajasthan Royals"/>
    <x v="0"/>
    <s v="Win"/>
    <x v="17"/>
    <x v="265"/>
    <x v="43"/>
    <s v="Ahmedabad"/>
  </r>
  <r>
    <n v="1473461"/>
    <n v="2025"/>
    <x v="17"/>
    <d v="2025-04-10T00:00:00"/>
    <s v="Royal Challengers Bengaluru"/>
    <s v="Delhi Capitals"/>
    <m/>
    <s v="Delhi Capitals"/>
    <x v="0"/>
    <s v="Win"/>
    <x v="15"/>
    <x v="202"/>
    <x v="51"/>
    <s v="Bengaluru"/>
  </r>
  <r>
    <n v="1473462"/>
    <n v="2025"/>
    <x v="17"/>
    <d v="2025-04-11T00:00:00"/>
    <s v="Chennai Super Kings"/>
    <s v="Kolkata Knight Riders"/>
    <m/>
    <s v="Kolkata Knight Riders"/>
    <x v="0"/>
    <s v="Win"/>
    <x v="0"/>
    <x v="127"/>
    <x v="41"/>
    <s v="Chennai"/>
  </r>
  <r>
    <n v="1473464"/>
    <n v="2025"/>
    <x v="17"/>
    <d v="2025-04-12T00:00:00"/>
    <s v="Punjab Kings"/>
    <s v="Sunrisers Hyderabad"/>
    <m/>
    <s v="Punjab Kings"/>
    <x v="1"/>
    <s v="Win"/>
    <x v="11"/>
    <x v="248"/>
    <x v="52"/>
    <s v="Hyderabad"/>
  </r>
  <r>
    <n v="1473463"/>
    <n v="2025"/>
    <x v="17"/>
    <d v="2025-04-12T00:00:00"/>
    <s v="Gujarat Titans"/>
    <s v="Lucknow Super Giants"/>
    <m/>
    <s v="Lucknow Super Giants"/>
    <x v="0"/>
    <s v="Win"/>
    <x v="18"/>
    <x v="299"/>
    <x v="49"/>
    <s v="Lucknow"/>
  </r>
  <r>
    <n v="1473466"/>
    <n v="2025"/>
    <x v="17"/>
    <d v="2025-04-13T00:00:00"/>
    <s v="Mumbai Indians"/>
    <s v="Delhi Capitals"/>
    <m/>
    <s v="Delhi Capitals"/>
    <x v="0"/>
    <s v="Win"/>
    <x v="7"/>
    <x v="201"/>
    <x v="44"/>
    <s v="Delhi"/>
  </r>
  <r>
    <n v="1473465"/>
    <n v="2025"/>
    <x v="17"/>
    <d v="2025-04-13T00:00:00"/>
    <s v="Rajasthan Royals"/>
    <s v="Royal Challengers Bengaluru"/>
    <m/>
    <s v="Royal Challengers Bengaluru"/>
    <x v="0"/>
    <s v="Win"/>
    <x v="19"/>
    <x v="273"/>
    <x v="54"/>
    <s v="Jaipur"/>
  </r>
  <r>
    <n v="1473467"/>
    <n v="2025"/>
    <x v="17"/>
    <d v="2025-04-14T00:00:00"/>
    <s v="Lucknow Super Giants"/>
    <s v="Chennai Super Kings"/>
    <m/>
    <s v="Chennai Super Kings"/>
    <x v="0"/>
    <s v="Win"/>
    <x v="1"/>
    <x v="13"/>
    <x v="49"/>
    <s v="Lucknow"/>
  </r>
  <r>
    <n v="1473468"/>
    <n v="2025"/>
    <x v="17"/>
    <d v="2025-04-15T00:00:00"/>
    <s v="Punjab Kings"/>
    <s v="Kolkata Knight Riders"/>
    <m/>
    <s v="Punjab Kings"/>
    <x v="1"/>
    <s v="Win"/>
    <x v="16"/>
    <x v="151"/>
    <x v="56"/>
    <s v="Mohali"/>
  </r>
  <r>
    <n v="1473469"/>
    <n v="2025"/>
    <x v="17"/>
    <d v="2025-04-16T00:00:00"/>
    <s v="Delhi Capitals"/>
    <s v="Rajasthan Royals"/>
    <m/>
    <s v="Rajasthan Royals"/>
    <x v="0"/>
    <s v="tie"/>
    <x v="8"/>
    <x v="167"/>
    <x v="44"/>
    <s v="Delhi"/>
  </r>
  <r>
    <n v="1473470"/>
    <n v="2025"/>
    <x v="17"/>
    <d v="2025-04-17T00:00:00"/>
    <s v="Sunrisers Hyderabad"/>
    <s v="Mumbai Indians"/>
    <m/>
    <s v="Mumbai Indians"/>
    <x v="0"/>
    <s v="Win"/>
    <x v="7"/>
    <x v="289"/>
    <x v="42"/>
    <s v="Mumbai"/>
  </r>
  <r>
    <n v="1473471"/>
    <n v="2025"/>
    <x v="17"/>
    <d v="2025-04-18T00:00:00"/>
    <s v="Royal Challengers Bengaluru"/>
    <s v="Punjab Kings"/>
    <m/>
    <s v="Punjab Kings"/>
    <x v="0"/>
    <s v="Win"/>
    <x v="16"/>
    <x v="257"/>
    <x v="51"/>
    <s v="Bengaluru"/>
  </r>
  <r>
    <n v="1473473"/>
    <n v="2025"/>
    <x v="17"/>
    <d v="2025-04-19T00:00:00"/>
    <s v="Lucknow Super Giants"/>
    <s v="Rajasthan Royals"/>
    <m/>
    <s v="Lucknow Super Giants"/>
    <x v="1"/>
    <s v="Win"/>
    <x v="18"/>
    <x v="247"/>
    <x v="54"/>
    <s v="Jaipur"/>
  </r>
  <r>
    <n v="1473472"/>
    <n v="2025"/>
    <x v="17"/>
    <d v="2025-04-19T00:00:00"/>
    <s v="Delhi Capitals"/>
    <s v="Gujarat Titans"/>
    <m/>
    <s v="Gujarat Titans"/>
    <x v="0"/>
    <s v="Win"/>
    <x v="17"/>
    <x v="194"/>
    <x v="43"/>
    <s v="Ahmedabad"/>
  </r>
  <r>
    <n v="1473474"/>
    <n v="2025"/>
    <x v="17"/>
    <d v="2025-04-20T00:00:00"/>
    <s v="Punjab Kings"/>
    <s v="Royal Challengers Bengaluru"/>
    <m/>
    <s v="Royal Challengers Bengaluru"/>
    <x v="0"/>
    <s v="Win"/>
    <x v="19"/>
    <x v="104"/>
    <x v="56"/>
    <s v="Mohali"/>
  </r>
  <r>
    <n v="1473475"/>
    <n v="2025"/>
    <x v="17"/>
    <d v="2025-04-20T00:00:00"/>
    <s v="Chennai Super Kings"/>
    <s v="Mumbai Indians"/>
    <m/>
    <s v="Mumbai Indians"/>
    <x v="0"/>
    <s v="Win"/>
    <x v="7"/>
    <x v="57"/>
    <x v="42"/>
    <s v="Mumbai"/>
  </r>
  <r>
    <n v="1473476"/>
    <n v="2025"/>
    <x v="17"/>
    <d v="2025-04-21T00:00:00"/>
    <s v="Gujarat Titans"/>
    <s v="Kolkata Knight Riders"/>
    <m/>
    <s v="Kolkata Knight Riders"/>
    <x v="0"/>
    <s v="Win"/>
    <x v="17"/>
    <x v="224"/>
    <x v="48"/>
    <s v="Kolkata"/>
  </r>
  <r>
    <n v="1473477"/>
    <n v="2025"/>
    <x v="17"/>
    <d v="2025-04-22T00:00:00"/>
    <s v="Lucknow Super Giants"/>
    <s v="Delhi Capitals"/>
    <m/>
    <s v="Delhi Capitals"/>
    <x v="0"/>
    <s v="Win"/>
    <x v="15"/>
    <x v="300"/>
    <x v="49"/>
    <s v="Lucknow"/>
  </r>
  <r>
    <n v="1473478"/>
    <n v="2025"/>
    <x v="17"/>
    <d v="2025-04-23T00:00:00"/>
    <s v="Sunrisers Hyderabad"/>
    <s v="Mumbai Indians"/>
    <m/>
    <s v="Mumbai Indians"/>
    <x v="0"/>
    <s v="Win"/>
    <x v="7"/>
    <x v="169"/>
    <x v="52"/>
    <s v="Hyderabad"/>
  </r>
  <r>
    <n v="1473479"/>
    <n v="2025"/>
    <x v="17"/>
    <d v="2025-04-24T00:00:00"/>
    <s v="Royal Challengers Bengaluru"/>
    <s v="Rajasthan Royals"/>
    <m/>
    <s v="Rajasthan Royals"/>
    <x v="0"/>
    <s v="Win"/>
    <x v="19"/>
    <x v="240"/>
    <x v="51"/>
    <s v="Bengaluru"/>
  </r>
  <r>
    <n v="1473480"/>
    <n v="2025"/>
    <x v="17"/>
    <d v="2025-04-25T00:00:00"/>
    <s v="Chennai Super Kings"/>
    <s v="Sunrisers Hyderabad"/>
    <m/>
    <s v="Sunrisers Hyderabad"/>
    <x v="0"/>
    <s v="Win"/>
    <x v="11"/>
    <x v="199"/>
    <x v="41"/>
    <s v="Chennai"/>
  </r>
  <r>
    <n v="1473481"/>
    <n v="2025"/>
    <x v="17"/>
    <d v="2025-04-26T00:00:00"/>
    <s v="Punjab Kings"/>
    <s v="Kolkata Knight Riders"/>
    <m/>
    <s v="Punjab Kings"/>
    <x v="1"/>
    <s v="no result"/>
    <x v="8"/>
    <x v="114"/>
    <x v="48"/>
    <s v="Kolkata"/>
  </r>
  <r>
    <n v="1473483"/>
    <n v="2025"/>
    <x v="17"/>
    <d v="2025-04-27T00:00:00"/>
    <s v="Delhi Capitals"/>
    <s v="Royal Challengers Bengaluru"/>
    <m/>
    <s v="Royal Challengers Bengaluru"/>
    <x v="0"/>
    <s v="Win"/>
    <x v="19"/>
    <x v="185"/>
    <x v="44"/>
    <s v="Delhi"/>
  </r>
  <r>
    <n v="1473482"/>
    <n v="2025"/>
    <x v="17"/>
    <d v="2025-04-27T00:00:00"/>
    <s v="Mumbai Indians"/>
    <s v="Lucknow Super Giants"/>
    <m/>
    <s v="Lucknow Super Giants"/>
    <x v="0"/>
    <s v="Win"/>
    <x v="7"/>
    <x v="289"/>
    <x v="42"/>
    <s v="Mumbai"/>
  </r>
  <r>
    <n v="1473484"/>
    <n v="2025"/>
    <x v="17"/>
    <d v="2025-04-28T00:00:00"/>
    <s v="Gujarat Titans"/>
    <s v="Rajasthan Royals"/>
    <m/>
    <s v="Rajasthan Royals"/>
    <x v="0"/>
    <s v="Win"/>
    <x v="4"/>
    <x v="301"/>
    <x v="54"/>
    <s v="Jaipur"/>
  </r>
  <r>
    <n v="1473485"/>
    <n v="2025"/>
    <x v="17"/>
    <d v="2025-04-29T00:00:00"/>
    <s v="Kolkata Knight Riders"/>
    <s v="Delhi Capitals"/>
    <m/>
    <s v="Delhi Capitals"/>
    <x v="0"/>
    <s v="Win"/>
    <x v="0"/>
    <x v="127"/>
    <x v="44"/>
    <s v="Delhi"/>
  </r>
  <r>
    <n v="1473486"/>
    <n v="2025"/>
    <x v="17"/>
    <d v="2025-04-30T00:00:00"/>
    <s v="Chennai Super Kings"/>
    <s v="Punjab Kings"/>
    <m/>
    <s v="Punjab Kings"/>
    <x v="0"/>
    <s v="Win"/>
    <x v="16"/>
    <x v="166"/>
    <x v="41"/>
    <s v="Chennai"/>
  </r>
  <r>
    <n v="1473487"/>
    <n v="2025"/>
    <x v="17"/>
    <d v="2025-05-01T00:00:00"/>
    <s v="Mumbai Indians"/>
    <s v="Rajasthan Royals"/>
    <m/>
    <s v="Rajasthan Royals"/>
    <x v="0"/>
    <s v="Win"/>
    <x v="7"/>
    <x v="302"/>
    <x v="54"/>
    <s v="Jaipur"/>
  </r>
  <r>
    <n v="1473488"/>
    <n v="2025"/>
    <x v="17"/>
    <d v="2025-05-02T00:00:00"/>
    <s v="Gujarat Titans"/>
    <s v="Sunrisers Hyderabad"/>
    <m/>
    <s v="Sunrisers Hyderabad"/>
    <x v="0"/>
    <s v="Win"/>
    <x v="17"/>
    <x v="294"/>
    <x v="43"/>
    <s v="Ahmedabad"/>
  </r>
  <r>
    <n v="1473489"/>
    <n v="2025"/>
    <x v="17"/>
    <d v="2025-05-03T00:00:00"/>
    <s v="Royal Challengers Bengaluru"/>
    <s v="Chennai Super Kings"/>
    <m/>
    <s v="Chennai Super Kings"/>
    <x v="0"/>
    <s v="Win"/>
    <x v="19"/>
    <x v="283"/>
    <x v="51"/>
    <s v="Bengaluru"/>
  </r>
  <r>
    <n v="1473490"/>
    <n v="2025"/>
    <x v="17"/>
    <d v="2025-05-04T00:00:00"/>
    <s v="Kolkata Knight Riders"/>
    <s v="Rajasthan Royals"/>
    <m/>
    <s v="Kolkata Knight Riders"/>
    <x v="1"/>
    <s v="Win"/>
    <x v="0"/>
    <x v="165"/>
    <x v="48"/>
    <s v="Kolkata"/>
  </r>
  <r>
    <n v="1473491"/>
    <n v="2025"/>
    <x v="17"/>
    <d v="2025-05-04T00:00:00"/>
    <s v="Punjab Kings"/>
    <s v="Lucknow Super Giants"/>
    <m/>
    <s v="Lucknow Super Giants"/>
    <x v="0"/>
    <s v="Win"/>
    <x v="16"/>
    <x v="277"/>
    <x v="55"/>
    <s v="Dharamsala"/>
  </r>
  <r>
    <n v="1473492"/>
    <n v="2025"/>
    <x v="17"/>
    <d v="2025-05-05T00:00:00"/>
    <s v="Delhi Capitals"/>
    <s v="Sunrisers Hyderabad"/>
    <m/>
    <s v="Sunrisers Hyderabad"/>
    <x v="0"/>
    <s v="no result"/>
    <x v="8"/>
    <x v="114"/>
    <x v="52"/>
    <s v="Hyderabad"/>
  </r>
  <r>
    <n v="1473493"/>
    <n v="2025"/>
    <x v="17"/>
    <d v="2025-05-06T00:00:00"/>
    <s v="Mumbai Indians"/>
    <s v="Gujarat Titans"/>
    <m/>
    <s v="Gujarat Titans"/>
    <x v="0"/>
    <s v="Win"/>
    <x v="17"/>
    <x v="224"/>
    <x v="42"/>
    <s v="Mumbai"/>
  </r>
  <r>
    <n v="1473494"/>
    <n v="2025"/>
    <x v="17"/>
    <d v="2025-05-07T00:00:00"/>
    <s v="Kolkata Knight Riders"/>
    <s v="Chennai Super Kings"/>
    <m/>
    <s v="Kolkata Knight Riders"/>
    <x v="1"/>
    <s v="Win"/>
    <x v="1"/>
    <x v="292"/>
    <x v="48"/>
    <s v="Kolkata"/>
  </r>
  <r>
    <n v="1473495"/>
    <n v="2025"/>
    <x v="17"/>
    <d v="2025-05-08T00:00:00"/>
    <s v="Punjab Kings"/>
    <s v="Delhi Capitals"/>
    <m/>
    <s v="Punjab Kings"/>
    <x v="1"/>
    <s v="no result"/>
    <x v="8"/>
    <x v="114"/>
    <x v="55"/>
    <s v="Dharamsala"/>
  </r>
  <r>
    <n v="1473498"/>
    <n v="2025"/>
    <x v="17"/>
    <d v="2025-05-18T00:00:00"/>
    <s v="Delhi Capitals"/>
    <s v="Gujarat Titans"/>
    <m/>
    <s v="Gujarat Titans"/>
    <x v="0"/>
    <s v="Win"/>
    <x v="17"/>
    <x v="265"/>
    <x v="44"/>
    <s v="Delhi"/>
  </r>
  <r>
    <n v="1473497"/>
    <n v="2025"/>
    <x v="17"/>
    <d v="2025-05-18T00:00:00"/>
    <s v="Punjab Kings"/>
    <s v="Rajasthan Royals"/>
    <m/>
    <s v="Punjab Kings"/>
    <x v="1"/>
    <s v="Win"/>
    <x v="16"/>
    <x v="237"/>
    <x v="54"/>
    <s v="Jaipur"/>
  </r>
  <r>
    <n v="1473499"/>
    <n v="2025"/>
    <x v="17"/>
    <d v="2025-05-19T00:00:00"/>
    <s v="Lucknow Super Giants"/>
    <s v="Sunrisers Hyderabad"/>
    <m/>
    <s v="Sunrisers Hyderabad"/>
    <x v="0"/>
    <s v="Win"/>
    <x v="11"/>
    <x v="248"/>
    <x v="49"/>
    <s v="Lucknow"/>
  </r>
  <r>
    <n v="1473500"/>
    <n v="2025"/>
    <x v="17"/>
    <d v="2025-05-20T00:00:00"/>
    <s v="Chennai Super Kings"/>
    <s v="Rajasthan Royals"/>
    <m/>
    <s v="Rajasthan Royals"/>
    <x v="0"/>
    <s v="Win"/>
    <x v="4"/>
    <x v="280"/>
    <x v="44"/>
    <s v="Delhi"/>
  </r>
  <r>
    <n v="1473501"/>
    <n v="2025"/>
    <x v="17"/>
    <d v="2025-05-21T00:00:00"/>
    <s v="Mumbai Indians"/>
    <s v="Delhi Capitals"/>
    <m/>
    <s v="Delhi Capitals"/>
    <x v="0"/>
    <s v="Win"/>
    <x v="7"/>
    <x v="178"/>
    <x v="42"/>
    <s v="Mumbai"/>
  </r>
  <r>
    <n v="1473502"/>
    <n v="2025"/>
    <x v="17"/>
    <d v="2025-05-22T00:00:00"/>
    <s v="Lucknow Super Giants"/>
    <s v="Gujarat Titans"/>
    <m/>
    <s v="Gujarat Titans"/>
    <x v="0"/>
    <s v="Win"/>
    <x v="18"/>
    <x v="111"/>
    <x v="43"/>
    <s v="Ahmedabad"/>
  </r>
  <r>
    <n v="1473503"/>
    <n v="2025"/>
    <x v="17"/>
    <d v="2025-05-23T00:00:00"/>
    <s v="Sunrisers Hyderabad"/>
    <s v="Royal Challengers Bengaluru"/>
    <m/>
    <s v="Royal Challengers Bengaluru"/>
    <x v="0"/>
    <s v="Win"/>
    <x v="11"/>
    <x v="210"/>
    <x v="49"/>
    <s v="Lucknow"/>
  </r>
  <r>
    <n v="1485779"/>
    <n v="2025"/>
    <x v="17"/>
    <d v="2025-05-24T00:00:00"/>
    <s v="Punjab Kings"/>
    <s v="Delhi Capitals"/>
    <m/>
    <s v="Delhi Capitals"/>
    <x v="0"/>
    <s v="Win"/>
    <x v="15"/>
    <x v="303"/>
    <x v="54"/>
    <s v="Jaipur"/>
  </r>
  <r>
    <n v="1473505"/>
    <n v="2025"/>
    <x v="17"/>
    <d v="2025-05-25T00:00:00"/>
    <s v="Sunrisers Hyderabad"/>
    <s v="Kolkata Knight Riders"/>
    <m/>
    <s v="Sunrisers Hyderabad"/>
    <x v="1"/>
    <s v="Win"/>
    <x v="11"/>
    <x v="304"/>
    <x v="44"/>
    <s v="Delhi"/>
  </r>
  <r>
    <n v="1473504"/>
    <n v="2025"/>
    <x v="17"/>
    <d v="2025-05-25T00:00:00"/>
    <s v="Chennai Super Kings"/>
    <s v="Gujarat Titans"/>
    <m/>
    <s v="Chennai Super Kings"/>
    <x v="1"/>
    <s v="Win"/>
    <x v="1"/>
    <x v="305"/>
    <x v="43"/>
    <s v="Ahmedabad"/>
  </r>
  <r>
    <n v="1473506"/>
    <n v="2025"/>
    <x v="17"/>
    <d v="2025-05-26T00:00:00"/>
    <s v="Mumbai Indians"/>
    <s v="Punjab Kings"/>
    <m/>
    <s v="Punjab Kings"/>
    <x v="0"/>
    <s v="Win"/>
    <x v="16"/>
    <x v="306"/>
    <x v="54"/>
    <s v="Jaipur"/>
  </r>
  <r>
    <n v="1473507"/>
    <n v="2025"/>
    <x v="17"/>
    <d v="2025-05-27T00:00:00"/>
    <s v="Lucknow Super Giants"/>
    <s v="Royal Challengers Bengaluru"/>
    <m/>
    <s v="Royal Challengers Bengaluru"/>
    <x v="0"/>
    <s v="Win"/>
    <x v="19"/>
    <x v="307"/>
    <x v="49"/>
    <s v="Lucknow"/>
  </r>
  <r>
    <n v="1473508"/>
    <n v="2025"/>
    <x v="17"/>
    <d v="2025-05-29T00:00:00"/>
    <s v="Punjab Kings"/>
    <s v="Royal Challengers Bengaluru"/>
    <m/>
    <s v="Royal Challengers Bengaluru"/>
    <x v="0"/>
    <s v="Win"/>
    <x v="19"/>
    <x v="308"/>
    <x v="56"/>
    <s v="New Chandigarh"/>
  </r>
  <r>
    <n v="1473509"/>
    <n v="2025"/>
    <x v="17"/>
    <d v="2025-05-30T00:00:00"/>
    <s v="Mumbai Indians"/>
    <s v="Gujarat Titans"/>
    <m/>
    <s v="Mumbai Indians"/>
    <x v="1"/>
    <s v="Win"/>
    <x v="7"/>
    <x v="57"/>
    <x v="58"/>
    <s v="New Chandigarh"/>
  </r>
  <r>
    <n v="1473510"/>
    <n v="2025"/>
    <x v="17"/>
    <d v="2025-06-01T00:00:00"/>
    <s v="Mumbai Indians"/>
    <s v="Punjab Kings"/>
    <m/>
    <s v="Punjab Kings"/>
    <x v="0"/>
    <s v="Win"/>
    <x v="16"/>
    <x v="166"/>
    <x v="43"/>
    <s v="Ahmedabad"/>
  </r>
  <r>
    <n v="1473511"/>
    <n v="2025"/>
    <x v="17"/>
    <d v="2025-06-03T00:00:00"/>
    <s v="Royal Challengers Bengaluru"/>
    <s v="Punjab Kings"/>
    <m/>
    <s v="Punjab Kings"/>
    <x v="0"/>
    <s v="Win"/>
    <x v="19"/>
    <x v="185"/>
    <x v="43"/>
    <s v="Ahmedabad"/>
  </r>
  <r>
    <n v="1527674"/>
    <n v="2026"/>
    <x v="18"/>
    <d v="2026-03-28T00:00:00"/>
    <s v="Sunrisers Hyderabad"/>
    <s v="Royal Challengers Bengaluru"/>
    <m/>
    <s v="Royal Challengers Bengaluru"/>
    <x v="0"/>
    <s v="Win"/>
    <x v="19"/>
    <x v="309"/>
    <x v="51"/>
    <s v="Bengaluru"/>
  </r>
  <r>
    <n v="1527675"/>
    <n v="2026"/>
    <x v="18"/>
    <d v="2026-03-29T00:00:00"/>
    <s v="Kolkata Knight Riders"/>
    <s v="Mumbai Indians"/>
    <m/>
    <s v="Mumbai Indians"/>
    <x v="0"/>
    <s v="Win"/>
    <x v="7"/>
    <x v="261"/>
    <x v="42"/>
    <s v="Mumbai"/>
  </r>
  <r>
    <n v="1527676"/>
    <n v="2026"/>
    <x v="18"/>
    <d v="2026-03-30T00:00:00"/>
    <s v="Chennai Super Kings"/>
    <s v="Rajasthan Royals"/>
    <m/>
    <s v="Rajasthan Royals"/>
    <x v="0"/>
    <s v="Win"/>
    <x v="4"/>
    <x v="310"/>
    <x v="53"/>
    <s v="Guwahati"/>
  </r>
  <r>
    <n v="1527677"/>
    <n v="2026"/>
    <x v="18"/>
    <d v="2026-03-31T00:00:00"/>
    <s v="Gujarat Titans"/>
    <s v="Punjab Kings"/>
    <m/>
    <s v="Punjab Kings"/>
    <x v="0"/>
    <s v="Win"/>
    <x v="16"/>
    <x v="311"/>
    <x v="58"/>
    <s v="New Chandigarh"/>
  </r>
  <r>
    <n v="1527678"/>
    <n v="2026"/>
    <x v="18"/>
    <d v="2026-04-01T00:00:00"/>
    <s v="Lucknow Super Giants"/>
    <s v="Delhi Capitals"/>
    <m/>
    <s v="Delhi Capitals"/>
    <x v="0"/>
    <s v="Win"/>
    <x v="15"/>
    <x v="303"/>
    <x v="49"/>
    <s v="Lucknow"/>
  </r>
  <r>
    <n v="1527679"/>
    <n v="2026"/>
    <x v="18"/>
    <d v="2026-04-02T00:00:00"/>
    <s v="Sunrisers Hyderabad"/>
    <s v="Kolkata Knight Riders"/>
    <m/>
    <s v="Kolkata Knight Riders"/>
    <x v="0"/>
    <s v="Win"/>
    <x v="11"/>
    <x v="285"/>
    <x v="48"/>
    <s v="Kolkata"/>
  </r>
  <r>
    <n v="1527680"/>
    <n v="2026"/>
    <x v="18"/>
    <d v="2026-04-03T00:00:00"/>
    <s v="Chennai Super Kings"/>
    <s v="Punjab Kings"/>
    <m/>
    <s v="Punjab Kings"/>
    <x v="0"/>
    <s v="Win"/>
    <x v="16"/>
    <x v="298"/>
    <x v="41"/>
    <s v="Chennai"/>
  </r>
  <r>
    <n v="1527682"/>
    <n v="2026"/>
    <x v="18"/>
    <d v="2026-04-04T00:00:00"/>
    <s v="Rajasthan Royals"/>
    <s v="Gujarat Titans"/>
    <m/>
    <s v="Rajasthan Royals"/>
    <x v="1"/>
    <s v="Win"/>
    <x v="4"/>
    <x v="312"/>
    <x v="43"/>
    <s v="Ahmedabad"/>
  </r>
  <r>
    <n v="1527681"/>
    <n v="2026"/>
    <x v="18"/>
    <d v="2026-04-04T00:00:00"/>
    <s v="Mumbai Indians"/>
    <s v="Delhi Capitals"/>
    <m/>
    <s v="Delhi Capitals"/>
    <x v="0"/>
    <s v="Win"/>
    <x v="15"/>
    <x v="303"/>
    <x v="44"/>
    <s v="Delhi"/>
  </r>
  <r>
    <n v="1527683"/>
    <n v="2026"/>
    <x v="18"/>
    <d v="2026-04-05T00:00:00"/>
    <s v="Sunrisers Hyderabad"/>
    <s v="Lucknow Super Giants"/>
    <m/>
    <s v="Lucknow Super Giants"/>
    <x v="0"/>
    <s v="Win"/>
    <x v="18"/>
    <x v="196"/>
    <x v="52"/>
    <s v="Hyderabad"/>
  </r>
  <r>
    <n v="1527684"/>
    <n v="2026"/>
    <x v="18"/>
    <d v="2026-04-05T00:00:00"/>
    <s v="Royal Challengers Bengaluru"/>
    <s v="Chennai Super Kings"/>
    <m/>
    <s v="Chennai Super Kings"/>
    <x v="0"/>
    <s v="Win"/>
    <x v="19"/>
    <x v="257"/>
    <x v="51"/>
    <s v="Bengaluru"/>
  </r>
  <r>
    <n v="1527685"/>
    <n v="2026"/>
    <x v="18"/>
    <d v="2026-04-06T00:00:00"/>
    <s v="Kolkata Knight Riders"/>
    <s v="Punjab Kings"/>
    <m/>
    <s v="Kolkata Knight Riders"/>
    <x v="1"/>
    <s v="no result"/>
    <x v="8"/>
    <x v="114"/>
    <x v="48"/>
    <s v="Kolkata"/>
  </r>
  <r>
    <n v="1527686"/>
    <n v="2026"/>
    <x v="18"/>
    <d v="2026-04-07T00:00:00"/>
    <s v="Rajasthan Royals"/>
    <s v="Mumbai Indians"/>
    <m/>
    <s v="Mumbai Indians"/>
    <x v="0"/>
    <s v="Win"/>
    <x v="4"/>
    <x v="258"/>
    <x v="53"/>
    <s v="Guwahati"/>
  </r>
  <r>
    <n v="1527687"/>
    <n v="2026"/>
    <x v="18"/>
    <d v="2026-04-08T00:00:00"/>
    <s v="Gujarat Titans"/>
    <s v="Delhi Capitals"/>
    <m/>
    <s v="Delhi Capitals"/>
    <x v="0"/>
    <s v="Win"/>
    <x v="17"/>
    <x v="188"/>
    <x v="44"/>
    <s v="Delhi"/>
  </r>
  <r>
    <n v="1527688"/>
    <n v="2026"/>
    <x v="18"/>
    <d v="2026-04-09T00:00:00"/>
    <s v="Kolkata Knight Riders"/>
    <s v="Lucknow Super Giants"/>
    <m/>
    <s v="Lucknow Super Giants"/>
    <x v="0"/>
    <s v="Win"/>
    <x v="18"/>
    <x v="313"/>
    <x v="48"/>
    <s v="Kolkata"/>
  </r>
  <r>
    <n v="1527689"/>
    <n v="2026"/>
    <x v="18"/>
    <d v="2026-04-10T00:00:00"/>
    <s v="Royal Challengers Bengaluru"/>
    <s v="Rajasthan Royals"/>
    <m/>
    <s v="Rajasthan Royals"/>
    <x v="0"/>
    <s v="Win"/>
    <x v="4"/>
    <x v="301"/>
    <x v="53"/>
    <s v="Guwahati"/>
  </r>
  <r>
    <n v="1527691"/>
    <n v="2026"/>
    <x v="18"/>
    <d v="2026-04-11T00:00:00"/>
    <s v="Chennai Super Kings"/>
    <s v="Delhi Capitals"/>
    <m/>
    <s v="Delhi Capitals"/>
    <x v="0"/>
    <s v="Win"/>
    <x v="1"/>
    <x v="144"/>
    <x v="41"/>
    <s v="Chennai"/>
  </r>
  <r>
    <n v="1527690"/>
    <n v="2026"/>
    <x v="18"/>
    <d v="2026-04-11T00:00:00"/>
    <s v="Sunrisers Hyderabad"/>
    <s v="Punjab Kings"/>
    <m/>
    <s v="Punjab Kings"/>
    <x v="0"/>
    <s v="Win"/>
    <x v="16"/>
    <x v="166"/>
    <x v="58"/>
    <s v="New Chandigarh"/>
  </r>
  <r>
    <n v="1527693"/>
    <n v="2026"/>
    <x v="18"/>
    <d v="2026-04-12T00:00:00"/>
    <s v="Royal Challengers Bengaluru"/>
    <s v="Mumbai Indians"/>
    <m/>
    <s v="Mumbai Indians"/>
    <x v="0"/>
    <s v="Win"/>
    <x v="19"/>
    <x v="273"/>
    <x v="42"/>
    <s v="Mumbai"/>
  </r>
  <r>
    <n v="1527692"/>
    <n v="2026"/>
    <x v="18"/>
    <d v="2026-04-12T00:00:00"/>
    <s v="Lucknow Super Giants"/>
    <s v="Gujarat Titans"/>
    <m/>
    <s v="Gujarat Titans"/>
    <x v="0"/>
    <s v="Win"/>
    <x v="17"/>
    <x v="294"/>
    <x v="49"/>
    <s v="Lucknow"/>
  </r>
  <r>
    <n v="1529264"/>
    <n v="2026"/>
    <x v="18"/>
    <d v="2026-04-13T00:00:00"/>
    <s v="Sunrisers Hyderabad"/>
    <s v="Rajasthan Royals"/>
    <m/>
    <s v="Rajasthan Royals"/>
    <x v="0"/>
    <s v="Win"/>
    <x v="11"/>
    <x v="314"/>
    <x v="52"/>
    <s v="Hyderabad"/>
  </r>
  <r>
    <n v="1529265"/>
    <n v="2026"/>
    <x v="18"/>
    <d v="2026-04-14T00:00:00"/>
    <s v="Chennai Super Kings"/>
    <s v="Kolkata Knight Riders"/>
    <m/>
    <s v="Kolkata Knight Riders"/>
    <x v="0"/>
    <s v="Win"/>
    <x v="1"/>
    <x v="292"/>
    <x v="41"/>
    <s v="Chennai"/>
  </r>
  <r>
    <n v="1529266"/>
    <n v="2026"/>
    <x v="18"/>
    <d v="2026-04-15T00:00:00"/>
    <s v="Lucknow Super Giants"/>
    <s v="Royal Challengers Bengaluru"/>
    <m/>
    <s v="Royal Challengers Bengaluru"/>
    <x v="0"/>
    <s v="Win"/>
    <x v="19"/>
    <x v="240"/>
    <x v="51"/>
    <s v="Bengaluru"/>
  </r>
  <r>
    <n v="1529267"/>
    <n v="2026"/>
    <x v="18"/>
    <d v="2026-04-16T00:00:00"/>
    <s v="Mumbai Indians"/>
    <s v="Punjab Kings"/>
    <m/>
    <s v="Punjab Kings"/>
    <x v="0"/>
    <s v="Win"/>
    <x v="16"/>
    <x v="264"/>
    <x v="42"/>
    <s v="Mumbai"/>
  </r>
  <r>
    <n v="1529268"/>
    <n v="2026"/>
    <x v="18"/>
    <d v="2026-04-17T00:00:00"/>
    <s v="Kolkata Knight Riders"/>
    <s v="Gujarat Titans"/>
    <m/>
    <s v="Kolkata Knight Riders"/>
    <x v="1"/>
    <s v="Win"/>
    <x v="17"/>
    <x v="224"/>
    <x v="43"/>
    <s v="Ahmedabad"/>
  </r>
  <r>
    <n v="1529270"/>
    <n v="2026"/>
    <x v="18"/>
    <d v="2026-04-18T00:00:00"/>
    <s v="Sunrisers Hyderabad"/>
    <s v="Chennai Super Kings"/>
    <m/>
    <s v="Chennai Super Kings"/>
    <x v="0"/>
    <s v="Win"/>
    <x v="11"/>
    <x v="315"/>
    <x v="52"/>
    <s v="Hyderabad"/>
  </r>
  <r>
    <n v="1529269"/>
    <n v="2026"/>
    <x v="18"/>
    <d v="2026-04-18T00:00:00"/>
    <s v="Royal Challengers Bengaluru"/>
    <s v="Delhi Capitals"/>
    <m/>
    <s v="Delhi Capitals"/>
    <x v="0"/>
    <s v="Win"/>
    <x v="15"/>
    <x v="316"/>
    <x v="51"/>
    <s v="Bengaluru"/>
  </r>
  <r>
    <n v="1529272"/>
    <n v="2026"/>
    <x v="18"/>
    <d v="2026-04-19T00:00:00"/>
    <s v="Punjab Kings"/>
    <s v="Lucknow Super Giants"/>
    <m/>
    <s v="Lucknow Super Giants"/>
    <x v="0"/>
    <s v="Win"/>
    <x v="16"/>
    <x v="298"/>
    <x v="58"/>
    <s v="New Chandigarh"/>
  </r>
  <r>
    <n v="1529271"/>
    <n v="2026"/>
    <x v="18"/>
    <d v="2026-04-19T00:00:00"/>
    <s v="Rajasthan Royals"/>
    <s v="Kolkata Knight Riders"/>
    <m/>
    <s v="Rajasthan Royals"/>
    <x v="1"/>
    <s v="Win"/>
    <x v="0"/>
    <x v="230"/>
    <x v="48"/>
    <s v="Kolkata"/>
  </r>
  <r>
    <n v="1529273"/>
    <n v="2026"/>
    <x v="18"/>
    <d v="2026-04-20T00:00:00"/>
    <s v="Mumbai Indians"/>
    <s v="Gujarat Titans"/>
    <m/>
    <s v="Gujarat Titans"/>
    <x v="0"/>
    <s v="Win"/>
    <x v="7"/>
    <x v="317"/>
    <x v="43"/>
    <s v="Ahmedabad"/>
  </r>
  <r>
    <n v="1529274"/>
    <n v="2026"/>
    <x v="18"/>
    <d v="2026-04-21T00:00:00"/>
    <s v="Sunrisers Hyderabad"/>
    <s v="Delhi Capitals"/>
    <m/>
    <s v="Delhi Capitals"/>
    <x v="0"/>
    <s v="Win"/>
    <x v="11"/>
    <x v="248"/>
    <x v="52"/>
    <s v="Hyderabad"/>
  </r>
  <r>
    <n v="1529275"/>
    <n v="2026"/>
    <x v="18"/>
    <d v="2026-04-22T00:00:00"/>
    <s v="Rajasthan Royals"/>
    <s v="Lucknow Super Giants"/>
    <m/>
    <s v="Lucknow Super Giants"/>
    <x v="0"/>
    <s v="Win"/>
    <x v="4"/>
    <x v="120"/>
    <x v="49"/>
    <s v="Lucknow"/>
  </r>
  <r>
    <n v="1529276"/>
    <n v="2026"/>
    <x v="18"/>
    <d v="2026-04-23T00:00:00"/>
    <s v="Chennai Super Kings"/>
    <s v="Mumbai Indians"/>
    <m/>
    <s v="Mumbai Indians"/>
    <x v="0"/>
    <s v="Win"/>
    <x v="1"/>
    <x v="144"/>
    <x v="42"/>
    <s v="Mumbai"/>
  </r>
  <r>
    <n v="1529277"/>
    <n v="2026"/>
    <x v="18"/>
    <d v="2026-04-24T00:00:00"/>
    <s v="Gujarat Titans"/>
    <s v="Royal Challengers Bengaluru"/>
    <m/>
    <s v="Royal Challengers Bengaluru"/>
    <x v="0"/>
    <s v="Win"/>
    <x v="19"/>
    <x v="104"/>
    <x v="51"/>
    <s v="Bengaluru"/>
  </r>
  <r>
    <n v="1529278"/>
    <n v="2026"/>
    <x v="18"/>
    <d v="2026-04-25T00:00:00"/>
    <s v="Delhi Capitals"/>
    <s v="Punjab Kings"/>
    <m/>
    <s v="Delhi Capitals"/>
    <x v="1"/>
    <s v="Win"/>
    <x v="16"/>
    <x v="202"/>
    <x v="44"/>
    <s v="Delhi"/>
  </r>
  <r>
    <n v="1529279"/>
    <n v="2026"/>
    <x v="18"/>
    <d v="2026-04-25T00:00:00"/>
    <s v="Rajasthan Royals"/>
    <s v="Sunrisers Hyderabad"/>
    <m/>
    <s v="Sunrisers Hyderabad"/>
    <x v="0"/>
    <s v="Win"/>
    <x v="11"/>
    <x v="210"/>
    <x v="54"/>
    <s v="Jaipur"/>
  </r>
  <r>
    <n v="1529280"/>
    <n v="2026"/>
    <x v="18"/>
    <d v="2026-04-26T00:00:00"/>
    <s v="Chennai Super Kings"/>
    <s v="Gujarat Titans"/>
    <m/>
    <s v="Gujarat Titans"/>
    <x v="0"/>
    <s v="Win"/>
    <x v="17"/>
    <x v="218"/>
    <x v="41"/>
    <s v="Chennai"/>
  </r>
  <r>
    <n v="1529281"/>
    <n v="2026"/>
    <x v="18"/>
    <d v="2026-04-26T00:00:00"/>
    <s v="Kolkata Knight Riders"/>
    <s v="Lucknow Super Giants"/>
    <m/>
    <s v="Lucknow Super Giants"/>
    <x v="0"/>
    <s v="tie"/>
    <x v="8"/>
    <x v="256"/>
    <x v="49"/>
    <s v="Lucknow"/>
  </r>
  <r>
    <n v="1529282"/>
    <n v="2026"/>
    <x v="18"/>
    <d v="2026-04-27T00:00:00"/>
    <s v="Delhi Capitals"/>
    <s v="Royal Challengers Bengaluru"/>
    <m/>
    <s v="Royal Challengers Bengaluru"/>
    <x v="0"/>
    <s v="Win"/>
    <x v="19"/>
    <x v="240"/>
    <x v="44"/>
    <s v="Delhi"/>
  </r>
  <r>
    <n v="1529283"/>
    <n v="2026"/>
    <x v="18"/>
    <d v="2026-04-28T00:00:00"/>
    <s v="Punjab Kings"/>
    <s v="Rajasthan Royals"/>
    <m/>
    <s v="Rajasthan Royals"/>
    <x v="0"/>
    <s v="Win"/>
    <x v="4"/>
    <x v="318"/>
    <x v="58"/>
    <s v="New Chandigarh"/>
  </r>
  <r>
    <n v="1529284"/>
    <n v="2026"/>
    <x v="18"/>
    <d v="2026-04-29T00:00:00"/>
    <s v="Mumbai Indians"/>
    <s v="Sunrisers Hyderabad"/>
    <m/>
    <s v="Mumbai Indians"/>
    <x v="1"/>
    <s v="Win"/>
    <x v="11"/>
    <x v="304"/>
    <x v="42"/>
    <s v="Mumbai"/>
  </r>
  <r>
    <n v="1529285"/>
    <n v="2026"/>
    <x v="18"/>
    <d v="2026-04-30T00:00:00"/>
    <s v="Royal Challengers Bengaluru"/>
    <s v="Gujarat Titans"/>
    <m/>
    <s v="Gujarat Titans"/>
    <x v="0"/>
    <s v="Win"/>
    <x v="17"/>
    <x v="239"/>
    <x v="43"/>
    <s v="Ahmedabad"/>
  </r>
  <r>
    <n v="1529286"/>
    <n v="2026"/>
    <x v="18"/>
    <d v="2026-05-01T00:00:00"/>
    <s v="Rajasthan Royals"/>
    <s v="Delhi Capitals"/>
    <m/>
    <s v="Rajasthan Royals"/>
    <x v="1"/>
    <s v="Win"/>
    <x v="15"/>
    <x v="202"/>
    <x v="54"/>
    <s v="Jaipur"/>
  </r>
  <r>
    <n v="1529287"/>
    <n v="2026"/>
    <x v="18"/>
    <d v="2026-05-02T00:00:00"/>
    <s v="Mumbai Indians"/>
    <s v="Chennai Super Kings"/>
    <m/>
    <s v="Mumbai Indians"/>
    <x v="1"/>
    <s v="Win"/>
    <x v="1"/>
    <x v="232"/>
    <x v="41"/>
    <s v="Chennai"/>
  </r>
  <r>
    <n v="1529289"/>
    <n v="2026"/>
    <x v="18"/>
    <d v="2026-05-03T00:00:00"/>
    <s v="Punjab Kings"/>
    <s v="Gujarat Titans"/>
    <m/>
    <s v="Gujarat Titans"/>
    <x v="0"/>
    <s v="Win"/>
    <x v="17"/>
    <x v="239"/>
    <x v="43"/>
    <s v="Ahmedabad"/>
  </r>
  <r>
    <n v="1529288"/>
    <n v="2026"/>
    <x v="18"/>
    <d v="2026-05-03T00:00:00"/>
    <s v="Sunrisers Hyderabad"/>
    <s v="Kolkata Knight Riders"/>
    <m/>
    <s v="Sunrisers Hyderabad"/>
    <x v="1"/>
    <s v="Win"/>
    <x v="0"/>
    <x v="230"/>
    <x v="52"/>
    <s v="Hyderabad"/>
  </r>
  <r>
    <n v="1529290"/>
    <n v="2026"/>
    <x v="18"/>
    <d v="2026-05-04T00:00:00"/>
    <s v="Lucknow Super Giants"/>
    <s v="Mumbai Indians"/>
    <m/>
    <s v="Mumbai Indians"/>
    <x v="0"/>
    <s v="Win"/>
    <x v="7"/>
    <x v="302"/>
    <x v="42"/>
    <s v="Mumbai"/>
  </r>
  <r>
    <n v="1529291"/>
    <n v="2026"/>
    <x v="18"/>
    <d v="2026-05-05T00:00:00"/>
    <s v="Delhi Capitals"/>
    <s v="Chennai Super Kings"/>
    <m/>
    <s v="Delhi Capitals"/>
    <x v="1"/>
    <s v="Win"/>
    <x v="1"/>
    <x v="144"/>
    <x v="44"/>
    <s v="Delhi"/>
  </r>
  <r>
    <n v="1529292"/>
    <n v="2026"/>
    <x v="18"/>
    <d v="2026-05-06T00:00:00"/>
    <s v="Sunrisers Hyderabad"/>
    <s v="Punjab Kings"/>
    <m/>
    <s v="Punjab Kings"/>
    <x v="0"/>
    <s v="Win"/>
    <x v="11"/>
    <x v="233"/>
    <x v="52"/>
    <s v="Hyderabad"/>
  </r>
  <r>
    <n v="1529293"/>
    <n v="2026"/>
    <x v="18"/>
    <d v="2026-05-07T00:00:00"/>
    <s v="Lucknow Super Giants"/>
    <s v="Royal Challengers Bengaluru"/>
    <m/>
    <s v="Royal Challengers Bengaluru"/>
    <x v="0"/>
    <s v="Win"/>
    <x v="18"/>
    <x v="111"/>
    <x v="49"/>
    <s v="Lucknow"/>
  </r>
  <r>
    <n v="1529294"/>
    <n v="2026"/>
    <x v="18"/>
    <d v="2026-05-08T00:00:00"/>
    <s v="Delhi Capitals"/>
    <s v="Kolkata Knight Riders"/>
    <m/>
    <s v="Kolkata Knight Riders"/>
    <x v="0"/>
    <s v="Win"/>
    <x v="0"/>
    <x v="319"/>
    <x v="44"/>
    <s v="Delhi"/>
  </r>
  <r>
    <n v="1529295"/>
    <n v="2026"/>
    <x v="18"/>
    <d v="2026-05-09T00:00:00"/>
    <s v="Gujarat Titans"/>
    <s v="Rajasthan Royals"/>
    <m/>
    <s v="Rajasthan Royals"/>
    <x v="0"/>
    <s v="Win"/>
    <x v="17"/>
    <x v="188"/>
    <x v="54"/>
    <s v="Jaipur"/>
  </r>
  <r>
    <n v="1529296"/>
    <n v="2026"/>
    <x v="18"/>
    <d v="2026-05-10T00:00:00"/>
    <s v="Lucknow Super Giants"/>
    <s v="Chennai Super Kings"/>
    <m/>
    <s v="Chennai Super Kings"/>
    <x v="0"/>
    <s v="Win"/>
    <x v="1"/>
    <x v="320"/>
    <x v="41"/>
    <s v="Chennai"/>
  </r>
  <r>
    <n v="1529297"/>
    <n v="2026"/>
    <x v="18"/>
    <d v="2026-05-10T00:00:00"/>
    <s v="Mumbai Indians"/>
    <s v="Royal Challengers Bengaluru"/>
    <m/>
    <s v="Royal Challengers Bengaluru"/>
    <x v="0"/>
    <s v="Win"/>
    <x v="19"/>
    <x v="157"/>
    <x v="59"/>
    <s v="Raipur"/>
  </r>
  <r>
    <n v="1529298"/>
    <n v="2026"/>
    <x v="18"/>
    <d v="2026-05-11T00:00:00"/>
    <s v="Punjab Kings"/>
    <s v="Delhi Capitals"/>
    <m/>
    <s v="Delhi Capitals"/>
    <x v="0"/>
    <s v="Win"/>
    <x v="15"/>
    <x v="321"/>
    <x v="55"/>
    <s v="Dharamsala"/>
  </r>
  <r>
    <n v="1529299"/>
    <n v="2026"/>
    <x v="18"/>
    <d v="2026-05-12T00:00:00"/>
    <s v="Gujarat Titans"/>
    <s v="Sunrisers Hyderabad"/>
    <m/>
    <s v="Sunrisers Hyderabad"/>
    <x v="0"/>
    <s v="Win"/>
    <x v="17"/>
    <x v="218"/>
    <x v="43"/>
    <s v="Ahmedabad"/>
  </r>
  <r>
    <n v="1529300"/>
    <n v="2026"/>
    <x v="18"/>
    <d v="2026-05-13T00:00:00"/>
    <s v="Kolkata Knight Riders"/>
    <s v="Royal Challengers Bengaluru"/>
    <m/>
    <s v="Royal Challengers Bengaluru"/>
    <x v="0"/>
    <s v="Win"/>
    <x v="19"/>
    <x v="104"/>
    <x v="59"/>
    <s v="Raipur"/>
  </r>
  <r>
    <n v="1529301"/>
    <n v="2026"/>
    <x v="18"/>
    <d v="2026-05-14T00:00:00"/>
    <s v="Punjab Kings"/>
    <s v="Mumbai Indians"/>
    <m/>
    <s v="Mumbai Indians"/>
    <x v="0"/>
    <s v="Win"/>
    <x v="7"/>
    <x v="317"/>
    <x v="55"/>
    <s v="Dharamsala"/>
  </r>
  <r>
    <n v="1529302"/>
    <n v="2026"/>
    <x v="18"/>
    <d v="2026-05-15T00:00:00"/>
    <s v="Chennai Super Kings"/>
    <s v="Lucknow Super Giants"/>
    <m/>
    <s v="Lucknow Super Giants"/>
    <x v="0"/>
    <s v="Win"/>
    <x v="18"/>
    <x v="111"/>
    <x v="49"/>
    <s v="Lucknow"/>
  </r>
  <r>
    <n v="1529303"/>
    <n v="2026"/>
    <x v="18"/>
    <d v="2026-05-16T00:00:00"/>
    <s v="Kolkata Knight Riders"/>
    <s v="Gujarat Titans"/>
    <m/>
    <s v="Gujarat Titans"/>
    <x v="0"/>
    <s v="Win"/>
    <x v="0"/>
    <x v="127"/>
    <x v="48"/>
    <s v="Kolkata"/>
  </r>
  <r>
    <n v="1529305"/>
    <n v="2026"/>
    <x v="18"/>
    <d v="2026-05-17T00:00:00"/>
    <s v="Rajasthan Royals"/>
    <s v="Delhi Capitals"/>
    <m/>
    <s v="Delhi Capitals"/>
    <x v="0"/>
    <s v="Win"/>
    <x v="15"/>
    <x v="167"/>
    <x v="44"/>
    <s v="Delhi"/>
  </r>
  <r>
    <n v="1529304"/>
    <n v="2026"/>
    <x v="18"/>
    <d v="2026-05-17T00:00:00"/>
    <s v="Royal Challengers Bengaluru"/>
    <s v="Punjab Kings"/>
    <m/>
    <s v="Punjab Kings"/>
    <x v="0"/>
    <s v="Win"/>
    <x v="19"/>
    <x v="242"/>
    <x v="55"/>
    <s v="Dharamsala"/>
  </r>
  <r>
    <n v="1529306"/>
    <n v="2026"/>
    <x v="18"/>
    <d v="2026-05-18T00:00:00"/>
    <s v="Chennai Super Kings"/>
    <s v="Sunrisers Hyderabad"/>
    <m/>
    <s v="Chennai Super Kings"/>
    <x v="1"/>
    <s v="Win"/>
    <x v="11"/>
    <x v="210"/>
    <x v="41"/>
    <s v="Chennai"/>
  </r>
  <r>
    <n v="1529307"/>
    <n v="2026"/>
    <x v="18"/>
    <d v="2026-05-19T00:00:00"/>
    <s v="Lucknow Super Giants"/>
    <s v="Rajasthan Royals"/>
    <m/>
    <s v="Rajasthan Royals"/>
    <x v="0"/>
    <s v="Win"/>
    <x v="4"/>
    <x v="301"/>
    <x v="54"/>
    <s v="Jaipur"/>
  </r>
  <r>
    <n v="1529308"/>
    <n v="2026"/>
    <x v="18"/>
    <d v="2026-05-20T00:00:00"/>
    <s v="Mumbai Indians"/>
    <s v="Kolkata Knight Riders"/>
    <m/>
    <s v="Kolkata Knight Riders"/>
    <x v="0"/>
    <s v="Win"/>
    <x v="0"/>
    <x v="68"/>
    <x v="48"/>
    <s v="Kolkata"/>
  </r>
  <r>
    <n v="1529309"/>
    <n v="2026"/>
    <x v="18"/>
    <d v="2026-05-21T00:00:00"/>
    <s v="Gujarat Titans"/>
    <s v="Chennai Super Kings"/>
    <m/>
    <s v="Chennai Super Kings"/>
    <x v="0"/>
    <s v="Win"/>
    <x v="17"/>
    <x v="198"/>
    <x v="43"/>
    <s v="Ahmedaba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n v="59"/>
    <n v="8"/>
    <x v="0"/>
    <s v="Chennai Super Kings"/>
    <s v="Shaun Marsh"/>
    <s v="Sohail Tanvir"/>
    <s v="Shane Watson"/>
    <n v="17150"/>
    <n v="622"/>
    <n v="1534"/>
    <n v="151"/>
    <n v="222"/>
    <n v="58"/>
  </r>
  <r>
    <x v="1"/>
    <n v="59"/>
    <n v="8"/>
    <x v="1"/>
    <s v="Royal Challengers Bangalore"/>
    <s v="Matthew Hayden"/>
    <s v="RP Singh"/>
    <s v="Adam Gilchrist"/>
    <n v="16800"/>
    <n v="506"/>
    <n v="1416"/>
    <n v="148"/>
    <n v="214"/>
    <n v="63"/>
  </r>
  <r>
    <x v="2"/>
    <n v="60"/>
    <n v="8"/>
    <x v="2"/>
    <s v="Mumbai Indians"/>
    <s v="Sachin Tendulkar"/>
    <s v="Pragyan Ojha"/>
    <s v="Sachin Tendulkar"/>
    <n v="18000"/>
    <n v="585"/>
    <n v="1500"/>
    <n v="153"/>
    <n v="246"/>
    <n v="61"/>
  </r>
  <r>
    <x v="3"/>
    <n v="74"/>
    <n v="10"/>
    <x v="2"/>
    <s v="Royal Challengers Bangalore"/>
    <s v="Chris Gayle"/>
    <s v="Lasith Malinga"/>
    <s v="Chris Gayle"/>
    <n v="22200"/>
    <n v="639"/>
    <n v="1924"/>
    <n v="150"/>
    <n v="211"/>
    <n v="65"/>
  </r>
  <r>
    <x v="4"/>
    <n v="76"/>
    <n v="9"/>
    <x v="3"/>
    <s v="Chennai Super Kings"/>
    <s v="Chris Gayle"/>
    <s v="Morne Morkel"/>
    <s v="Chris Gayle"/>
    <n v="23500"/>
    <n v="731"/>
    <n v="2052"/>
    <n v="156"/>
    <n v="215"/>
    <n v="58"/>
  </r>
  <r>
    <x v="5"/>
    <n v="76"/>
    <n v="9"/>
    <x v="4"/>
    <s v="Chennai Super Kings"/>
    <s v="Michael Hussey"/>
    <s v="Dwayne Bravo"/>
    <s v="Shane Watson"/>
    <n v="23100"/>
    <n v="672"/>
    <n v="1976"/>
    <n v="155"/>
    <n v="263"/>
    <n v="58"/>
  </r>
  <r>
    <x v="6"/>
    <n v="60"/>
    <n v="8"/>
    <x v="3"/>
    <s v="Kings XI Punjab"/>
    <s v="Robin Uthappa"/>
    <s v="Mohit Sharma"/>
    <s v="Glenn Maxwell"/>
    <n v="18900"/>
    <n v="714"/>
    <n v="1620"/>
    <n v="157"/>
    <n v="224"/>
    <n v="66"/>
  </r>
  <r>
    <x v="7"/>
    <n v="60"/>
    <n v="8"/>
    <x v="4"/>
    <s v="Chennai Super Kings"/>
    <s v="David Warner"/>
    <s v="Dwayne Bravo"/>
    <s v="AB de Villiers"/>
    <n v="18400"/>
    <n v="692"/>
    <n v="1560"/>
    <n v="153"/>
    <n v="235"/>
    <n v="67"/>
  </r>
  <r>
    <x v="8"/>
    <n v="60"/>
    <n v="8"/>
    <x v="5"/>
    <s v="Royal Challengers Bangalore"/>
    <s v="Virat Kohli"/>
    <s v="Bhuvneshwar Kumar"/>
    <s v="Virat Kohli"/>
    <n v="19500"/>
    <n v="638"/>
    <n v="1620"/>
    <n v="160"/>
    <n v="248"/>
    <n v="61"/>
  </r>
  <r>
    <x v="9"/>
    <n v="59"/>
    <n v="8"/>
    <x v="4"/>
    <s v="Rising Pune Supergiant"/>
    <s v="David Warner"/>
    <s v="Bhuvneshwar Kumar"/>
    <s v="Ben Stokes"/>
    <n v="18500"/>
    <n v="705"/>
    <n v="1534"/>
    <n v="158"/>
    <n v="231"/>
    <n v="49"/>
  </r>
  <r>
    <x v="10"/>
    <n v="60"/>
    <n v="8"/>
    <x v="2"/>
    <s v="Sunrisers Hyderabad"/>
    <s v="Kane Williamson"/>
    <s v="Andrew Tye"/>
    <s v="Sunil Narine"/>
    <n v="20600"/>
    <n v="872"/>
    <n v="1560"/>
    <n v="165"/>
    <n v="232"/>
    <n v="70"/>
  </r>
  <r>
    <x v="11"/>
    <n v="60"/>
    <n v="8"/>
    <x v="4"/>
    <s v="Chennai Super Kings"/>
    <s v="David Warner"/>
    <s v="Imran Tahir"/>
    <s v="Andre Russell"/>
    <n v="19800"/>
    <n v="784"/>
    <n v="1560"/>
    <n v="162"/>
    <n v="232"/>
    <n v="70"/>
  </r>
  <r>
    <x v="12"/>
    <n v="60"/>
    <n v="8"/>
    <x v="4"/>
    <s v="Delhi Capitals"/>
    <s v="KL Rahul"/>
    <s v="Kagiso Rabada"/>
    <s v="Jofra Archer"/>
    <n v="19100"/>
    <n v="734"/>
    <n v="1560"/>
    <n v="160"/>
    <n v="228"/>
    <n v="67"/>
  </r>
  <r>
    <x v="13"/>
    <n v="60"/>
    <n v="8"/>
    <x v="2"/>
    <s v="Kolkata Knight Riders"/>
    <s v="Ruturaj Gaikwad"/>
    <s v="Harshal Patel"/>
    <s v="Harshal Patel"/>
    <n v="18900"/>
    <n v="687"/>
    <n v="1560"/>
    <n v="158"/>
    <n v="218"/>
    <n v="61"/>
  </r>
  <r>
    <x v="14"/>
    <n v="74"/>
    <n v="10"/>
    <x v="6"/>
    <s v="Rajasthan Royals"/>
    <s v="Jos Buttler"/>
    <s v="Yuzvendra Chahal"/>
    <s v="Hardik Pandya"/>
    <n v="25600"/>
    <n v="1062"/>
    <n v="1998"/>
    <n v="165"/>
    <n v="220"/>
    <n v="57"/>
  </r>
  <r>
    <x v="15"/>
    <n v="74"/>
    <n v="10"/>
    <x v="2"/>
    <s v="Gujarat Titans"/>
    <s v="Shubman Gill"/>
    <s v="Mohammed Shami"/>
    <s v="Shubman Gill"/>
    <n v="26200"/>
    <n v="1124"/>
    <n v="2174"/>
    <n v="172"/>
    <n v="257"/>
    <n v="65"/>
  </r>
  <r>
    <x v="16"/>
    <n v="72"/>
    <n v="10"/>
    <x v="3"/>
    <s v="Sunrisers Hyderabad"/>
    <s v="Virat Kohli"/>
    <s v="Harshal Patel"/>
    <s v="Sunil Narine"/>
    <n v="26500"/>
    <n v="1260"/>
    <n v="2174"/>
    <n v="181"/>
    <n v="287"/>
    <n v="57"/>
  </r>
  <r>
    <x v="17"/>
    <n v="73"/>
    <n v="10"/>
    <x v="7"/>
    <s v="Punjab Kings"/>
    <s v="B Sai Sudharsan"/>
    <s v="Prasidh Krishna"/>
    <s v="Suryakumar Yadav"/>
    <n v="27000"/>
    <n v="1294"/>
    <n v="2190"/>
    <n v="183"/>
    <n v="269"/>
    <n v="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54905F-41D9-4556-96AD-184F292F6D78}" name="PivotTable5"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4">
    <pivotField showAll="0">
      <items count="19">
        <item x="0"/>
        <item x="1"/>
        <item x="2"/>
        <item x="3"/>
        <item x="4"/>
        <item x="5"/>
        <item x="6"/>
        <item x="7"/>
        <item x="8"/>
        <item x="9"/>
        <item x="10"/>
        <item x="11"/>
        <item x="12"/>
        <item x="13"/>
        <item x="14"/>
        <item x="15"/>
        <item x="16"/>
        <item x="17"/>
        <item t="default"/>
      </items>
    </pivotField>
    <pivotField showAll="0"/>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
  </rowFields>
  <rowItems count="9">
    <i>
      <x/>
    </i>
    <i>
      <x v="4"/>
    </i>
    <i>
      <x v="3"/>
    </i>
    <i>
      <x v="6"/>
    </i>
    <i>
      <x v="1"/>
    </i>
    <i>
      <x v="7"/>
    </i>
    <i>
      <x v="2"/>
    </i>
    <i>
      <x v="5"/>
    </i>
    <i t="grand">
      <x/>
    </i>
  </rowItems>
  <colItems count="1">
    <i/>
  </colItems>
  <dataFields count="1">
    <dataField name="Count of champ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A02A5-C44D-45B8-AFD3-56AF4B94DD50}"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4">
    <pivotField showAll="0"/>
    <pivotField showAll="0"/>
    <pivotField showAll="0">
      <items count="20">
        <item h="1" x="0"/>
        <item h="1" x="1"/>
        <item h="1" x="2"/>
        <item h="1" x="3"/>
        <item h="1" x="4"/>
        <item h="1" x="5"/>
        <item h="1" x="6"/>
        <item h="1" x="7"/>
        <item h="1" x="8"/>
        <item h="1" x="9"/>
        <item h="1" x="10"/>
        <item h="1" x="11"/>
        <item h="1" x="12"/>
        <item h="1" x="13"/>
        <item h="1" x="14"/>
        <item h="1" x="15"/>
        <item h="1" x="16"/>
        <item h="1" x="17"/>
        <item x="18"/>
        <item t="default"/>
      </items>
    </pivotField>
    <pivotField numFmtId="14" showAll="0"/>
    <pivotField showAll="0"/>
    <pivotField showAll="0"/>
    <pivotField showAll="0"/>
    <pivotField showAll="0"/>
    <pivotField axis="axisCol" showAll="0">
      <items count="3">
        <item x="1"/>
        <item x="0"/>
        <item t="default"/>
      </items>
    </pivotField>
    <pivotField showAll="0"/>
    <pivotField axis="axisRow" dataField="1" showAll="0">
      <items count="21">
        <item x="1"/>
        <item x="6"/>
        <item x="15"/>
        <item x="2"/>
        <item x="13"/>
        <item x="17"/>
        <item x="5"/>
        <item x="10"/>
        <item x="0"/>
        <item x="18"/>
        <item x="7"/>
        <item h="1" x="8"/>
        <item x="9"/>
        <item x="16"/>
        <item x="4"/>
        <item x="14"/>
        <item x="12"/>
        <item x="3"/>
        <item x="19"/>
        <item x="11"/>
        <item t="default"/>
      </items>
    </pivotField>
    <pivotField showAll="0"/>
    <pivotField showAll="0"/>
    <pivotField showAll="0"/>
  </pivotFields>
  <rowFields count="1">
    <field x="10"/>
  </rowFields>
  <rowItems count="11">
    <i>
      <x/>
    </i>
    <i>
      <x v="2"/>
    </i>
    <i>
      <x v="5"/>
    </i>
    <i>
      <x v="8"/>
    </i>
    <i>
      <x v="9"/>
    </i>
    <i>
      <x v="10"/>
    </i>
    <i>
      <x v="13"/>
    </i>
    <i>
      <x v="14"/>
    </i>
    <i>
      <x v="18"/>
    </i>
    <i>
      <x v="19"/>
    </i>
    <i t="grand">
      <x/>
    </i>
  </rowItems>
  <colFields count="1">
    <field x="8"/>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81E67-C2C0-4546-AB43-C3CB2112B0FB}"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4">
    <pivotField showAll="0"/>
    <pivotField showAll="0"/>
    <pivotField showAll="0">
      <items count="20">
        <item h="1" x="0"/>
        <item h="1" x="1"/>
        <item h="1" x="2"/>
        <item h="1" x="3"/>
        <item h="1" x="4"/>
        <item h="1" x="5"/>
        <item h="1" x="6"/>
        <item h="1" x="7"/>
        <item h="1" x="8"/>
        <item h="1" x="9"/>
        <item h="1" x="10"/>
        <item h="1" x="11"/>
        <item h="1" x="12"/>
        <item h="1" x="13"/>
        <item h="1" x="14"/>
        <item h="1" x="15"/>
        <item h="1" x="16"/>
        <item h="1" x="17"/>
        <item x="18"/>
        <item t="default"/>
      </items>
    </pivotField>
    <pivotField numFmtId="14"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s>
  <rowFields count="1">
    <field x="8"/>
  </rowFields>
  <rowItems count="3">
    <i>
      <x/>
    </i>
    <i>
      <x v="1"/>
    </i>
    <i t="grand">
      <x/>
    </i>
  </rowItems>
  <colItems count="1">
    <i/>
  </colItems>
  <dataFields count="1">
    <dataField name="Count of winner" fld="1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1F79E-8A2D-4667-9B0F-9935AABB8651}"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 firstHeaderRow="1" firstDataRow="2" firstDataCol="1"/>
  <pivotFields count="14">
    <pivotField showAll="0"/>
    <pivotField showAll="0"/>
    <pivotField showAll="0">
      <items count="20">
        <item h="1" x="0"/>
        <item h="1" x="1"/>
        <item h="1" x="2"/>
        <item h="1" x="3"/>
        <item h="1" x="4"/>
        <item h="1" x="5"/>
        <item h="1" x="6"/>
        <item h="1" x="7"/>
        <item h="1" x="8"/>
        <item h="1" x="9"/>
        <item h="1" x="10"/>
        <item h="1" x="11"/>
        <item h="1" x="12"/>
        <item h="1" x="13"/>
        <item h="1" x="14"/>
        <item h="1" x="15"/>
        <item h="1" x="16"/>
        <item h="1" x="17"/>
        <item x="18"/>
        <item t="default"/>
      </items>
    </pivotField>
    <pivotField numFmtId="14" showAll="0"/>
    <pivotField showAll="0"/>
    <pivotField showAll="0"/>
    <pivotField showAll="0"/>
    <pivotField showAll="0"/>
    <pivotField axis="axisCol" showAll="0">
      <items count="3">
        <item x="1"/>
        <item x="0"/>
        <item t="default"/>
      </items>
    </pivotField>
    <pivotField showAll="0"/>
    <pivotField dataField="1" showAll="0"/>
    <pivotField showAll="0"/>
    <pivotField axis="axisRow" showAll="0" measureFilter="1" sortType="ascending">
      <items count="61">
        <item x="40"/>
        <item x="44"/>
        <item x="19"/>
        <item x="53"/>
        <item x="49"/>
        <item x="17"/>
        <item x="20"/>
        <item x="13"/>
        <item x="15"/>
        <item x="8"/>
        <item x="46"/>
        <item x="25"/>
        <item x="57"/>
        <item x="32"/>
        <item x="3"/>
        <item x="48"/>
        <item x="2"/>
        <item x="35"/>
        <item x="22"/>
        <item x="55"/>
        <item x="24"/>
        <item x="29"/>
        <item x="11"/>
        <item x="0"/>
        <item x="51"/>
        <item x="36"/>
        <item x="39"/>
        <item x="7"/>
        <item x="41"/>
        <item x="56"/>
        <item x="58"/>
        <item x="27"/>
        <item x="47"/>
        <item x="43"/>
        <item x="23"/>
        <item x="14"/>
        <item x="9"/>
        <item x="16"/>
        <item x="37"/>
        <item x="33"/>
        <item x="50"/>
        <item x="1"/>
        <item x="38"/>
        <item x="6"/>
        <item x="52"/>
        <item x="18"/>
        <item x="34"/>
        <item x="5"/>
        <item x="54"/>
        <item x="28"/>
        <item x="59"/>
        <item x="31"/>
        <item x="30"/>
        <item x="10"/>
        <item x="26"/>
        <item x="12"/>
        <item x="21"/>
        <item x="4"/>
        <item x="42"/>
        <item x="45"/>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11">
    <i>
      <x v="48"/>
    </i>
    <i>
      <x v="30"/>
    </i>
    <i>
      <x v="24"/>
    </i>
    <i>
      <x v="4"/>
    </i>
    <i>
      <x v="44"/>
    </i>
    <i>
      <x v="58"/>
    </i>
    <i>
      <x v="15"/>
    </i>
    <i>
      <x v="28"/>
    </i>
    <i>
      <x v="33"/>
    </i>
    <i>
      <x v="1"/>
    </i>
    <i t="grand">
      <x/>
    </i>
  </rowItems>
  <colFields count="1">
    <field x="8"/>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406FEB-1709-4CA6-AFA9-E3FAE982D74E}" name="POTM"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5" firstHeaderRow="1" firstDataRow="1" firstDataCol="1"/>
  <pivotFields count="14">
    <pivotField showAll="0"/>
    <pivotField showAll="0"/>
    <pivotField showAll="0">
      <items count="20">
        <item h="1" x="0"/>
        <item h="1" x="1"/>
        <item h="1" x="2"/>
        <item h="1" x="3"/>
        <item h="1" x="4"/>
        <item h="1" x="5"/>
        <item h="1" x="6"/>
        <item h="1" x="7"/>
        <item h="1" x="8"/>
        <item h="1" x="9"/>
        <item h="1" x="10"/>
        <item h="1" x="11"/>
        <item h="1" x="12"/>
        <item h="1" x="13"/>
        <item h="1" x="14"/>
        <item h="1" x="15"/>
        <item h="1" x="16"/>
        <item h="1" x="17"/>
        <item x="18"/>
        <item t="default"/>
      </items>
    </pivotField>
    <pivotField numFmtId="14" showAll="0"/>
    <pivotField showAll="0"/>
    <pivotField showAll="0"/>
    <pivotField showAll="0"/>
    <pivotField showAll="0"/>
    <pivotField showAll="0"/>
    <pivotField showAll="0"/>
    <pivotField showAll="0"/>
    <pivotField axis="axisRow" dataField="1" showAll="0" sortType="descending">
      <items count="323">
        <item x="135"/>
        <item x="33"/>
        <item x="271"/>
        <item x="27"/>
        <item x="23"/>
        <item x="229"/>
        <item x="58"/>
        <item x="72"/>
        <item x="184"/>
        <item x="73"/>
        <item x="46"/>
        <item x="179"/>
        <item x="248"/>
        <item x="12"/>
        <item x="76"/>
        <item x="123"/>
        <item x="69"/>
        <item x="165"/>
        <item x="140"/>
        <item x="191"/>
        <item x="299"/>
        <item x="280"/>
        <item x="118"/>
        <item x="249"/>
        <item x="149"/>
        <item x="160"/>
        <item x="264"/>
        <item x="217"/>
        <item x="207"/>
        <item x="293"/>
        <item x="295"/>
        <item x="83"/>
        <item x="247"/>
        <item x="133"/>
        <item x="157"/>
        <item x="65"/>
        <item x="265"/>
        <item x="204"/>
        <item x="110"/>
        <item x="192"/>
        <item x="0"/>
        <item x="187"/>
        <item x="66"/>
        <item x="134"/>
        <item x="311"/>
        <item x="270"/>
        <item x="153"/>
        <item x="45"/>
        <item x="180"/>
        <item x="159"/>
        <item x="231"/>
        <item x="130"/>
        <item x="181"/>
        <item x="39"/>
        <item x="230"/>
        <item x="305"/>
        <item x="318"/>
        <item x="236"/>
        <item x="143"/>
        <item x="79"/>
        <item x="95"/>
        <item x="31"/>
        <item x="162"/>
        <item x="3"/>
        <item x="145"/>
        <item x="220"/>
        <item x="43"/>
        <item x="259"/>
        <item x="51"/>
        <item x="28"/>
        <item x="260"/>
        <item x="60"/>
        <item x="297"/>
        <item x="101"/>
        <item x="245"/>
        <item x="315"/>
        <item x="171"/>
        <item x="124"/>
        <item x="319"/>
        <item x="56"/>
        <item x="29"/>
        <item x="15"/>
        <item x="275"/>
        <item x="139"/>
        <item x="163"/>
        <item x="152"/>
        <item x="304"/>
        <item x="62"/>
        <item x="89"/>
        <item x="237"/>
        <item x="268"/>
        <item x="219"/>
        <item x="50"/>
        <item x="172"/>
        <item x="186"/>
        <item x="199"/>
        <item x="105"/>
        <item x="19"/>
        <item x="221"/>
        <item x="107"/>
        <item x="210"/>
        <item x="106"/>
        <item x="288"/>
        <item x="272"/>
        <item x="320"/>
        <item x="74"/>
        <item x="309"/>
        <item x="34"/>
        <item x="206"/>
        <item x="194"/>
        <item x="126"/>
        <item x="92"/>
        <item x="10"/>
        <item x="116"/>
        <item x="55"/>
        <item x="190"/>
        <item x="205"/>
        <item x="215"/>
        <item x="307"/>
        <item x="239"/>
        <item x="53"/>
        <item x="141"/>
        <item x="306"/>
        <item x="240"/>
        <item x="218"/>
        <item x="91"/>
        <item x="238"/>
        <item x="9"/>
        <item x="35"/>
        <item x="185"/>
        <item x="223"/>
        <item x="147"/>
        <item x="158"/>
        <item x="202"/>
        <item x="77"/>
        <item x="222"/>
        <item x="129"/>
        <item x="82"/>
        <item x="241"/>
        <item x="193"/>
        <item x="211"/>
        <item x="201"/>
        <item x="25"/>
        <item x="213"/>
        <item x="195"/>
        <item x="150"/>
        <item x="161"/>
        <item x="67"/>
        <item x="61"/>
        <item x="246"/>
        <item x="253"/>
        <item x="94"/>
        <item x="122"/>
        <item x="44"/>
        <item x="30"/>
        <item x="274"/>
        <item x="294"/>
        <item x="321"/>
        <item x="81"/>
        <item x="138"/>
        <item x="164"/>
        <item x="167"/>
        <item x="263"/>
        <item x="131"/>
        <item x="173"/>
        <item x="313"/>
        <item x="99"/>
        <item x="1"/>
        <item x="2"/>
        <item x="146"/>
        <item x="85"/>
        <item x="175"/>
        <item x="68"/>
        <item x="71"/>
        <item x="7"/>
        <item x="235"/>
        <item x="103"/>
        <item x="154"/>
        <item x="121"/>
        <item x="196"/>
        <item x="198"/>
        <item x="255"/>
        <item x="183"/>
        <item x="281"/>
        <item x="111"/>
        <item x="137"/>
        <item x="13"/>
        <item x="142"/>
        <item x="209"/>
        <item x="252"/>
        <item x="300"/>
        <item x="177"/>
        <item x="4"/>
        <item x="114"/>
        <item x="310"/>
        <item x="267"/>
        <item x="189"/>
        <item x="285"/>
        <item x="170"/>
        <item x="292"/>
        <item x="266"/>
        <item x="78"/>
        <item x="243"/>
        <item x="18"/>
        <item x="132"/>
        <item x="108"/>
        <item x="277"/>
        <item x="148"/>
        <item x="100"/>
        <item x="84"/>
        <item x="273"/>
        <item x="233"/>
        <item x="227"/>
        <item x="276"/>
        <item x="88"/>
        <item x="314"/>
        <item x="48"/>
        <item x="214"/>
        <item x="298"/>
        <item x="156"/>
        <item x="244"/>
        <item x="176"/>
        <item x="90"/>
        <item x="63"/>
        <item x="40"/>
        <item x="93"/>
        <item x="254"/>
        <item x="287"/>
        <item x="109"/>
        <item x="283"/>
        <item x="228"/>
        <item x="36"/>
        <item x="120"/>
        <item x="197"/>
        <item x="188"/>
        <item x="312"/>
        <item x="234"/>
        <item x="232"/>
        <item x="302"/>
        <item x="117"/>
        <item x="57"/>
        <item x="87"/>
        <item x="256"/>
        <item x="262"/>
        <item x="42"/>
        <item x="182"/>
        <item x="279"/>
        <item x="47"/>
        <item x="75"/>
        <item x="96"/>
        <item x="112"/>
        <item x="59"/>
        <item x="115"/>
        <item x="250"/>
        <item x="212"/>
        <item x="128"/>
        <item x="102"/>
        <item x="22"/>
        <item x="17"/>
        <item x="178"/>
        <item x="303"/>
        <item x="155"/>
        <item x="54"/>
        <item x="98"/>
        <item x="24"/>
        <item x="16"/>
        <item x="291"/>
        <item x="125"/>
        <item x="282"/>
        <item x="226"/>
        <item x="26"/>
        <item x="224"/>
        <item x="269"/>
        <item x="290"/>
        <item x="38"/>
        <item x="97"/>
        <item x="64"/>
        <item x="80"/>
        <item x="216"/>
        <item x="11"/>
        <item x="20"/>
        <item x="261"/>
        <item x="225"/>
        <item x="21"/>
        <item x="32"/>
        <item x="127"/>
        <item x="119"/>
        <item x="41"/>
        <item x="5"/>
        <item x="166"/>
        <item x="14"/>
        <item x="308"/>
        <item x="144"/>
        <item x="203"/>
        <item x="316"/>
        <item x="169"/>
        <item x="208"/>
        <item x="257"/>
        <item x="317"/>
        <item x="86"/>
        <item x="49"/>
        <item x="286"/>
        <item x="37"/>
        <item x="251"/>
        <item x="136"/>
        <item x="104"/>
        <item x="6"/>
        <item x="301"/>
        <item x="296"/>
        <item x="168"/>
        <item x="242"/>
        <item x="200"/>
        <item x="278"/>
        <item x="289"/>
        <item x="113"/>
        <item x="70"/>
        <item x="284"/>
        <item x="258"/>
        <item x="8"/>
        <item x="151"/>
        <item x="52"/>
        <item x="174"/>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52">
    <i>
      <x v="292"/>
    </i>
    <i>
      <x v="307"/>
    </i>
    <i>
      <x v="234"/>
    </i>
    <i>
      <x v="54"/>
    </i>
    <i>
      <x v="305"/>
    </i>
    <i>
      <x v="100"/>
    </i>
    <i>
      <x v="218"/>
    </i>
    <i>
      <x v="119"/>
    </i>
    <i>
      <x v="260"/>
    </i>
    <i>
      <x v="123"/>
    </i>
    <i>
      <x v="298"/>
    </i>
    <i>
      <x v="124"/>
    </i>
    <i>
      <x v="133"/>
    </i>
    <i>
      <x v="184"/>
    </i>
    <i>
      <x v="297"/>
    </i>
    <i>
      <x v="242"/>
    </i>
    <i>
      <x v="34"/>
    </i>
    <i>
      <x v="75"/>
    </i>
    <i>
      <x v="285"/>
    </i>
    <i>
      <x v="156"/>
    </i>
    <i>
      <x v="86"/>
    </i>
    <i>
      <x v="157"/>
    </i>
    <i>
      <x v="237"/>
    </i>
    <i>
      <x v="161"/>
    </i>
    <i>
      <x v="271"/>
    </i>
    <i>
      <x v="165"/>
    </i>
    <i>
      <x v="106"/>
    </i>
    <i>
      <x v="172"/>
    </i>
    <i>
      <x v="26"/>
    </i>
    <i>
      <x v="179"/>
    </i>
    <i>
      <x v="232"/>
    </i>
    <i>
      <x v="180"/>
    </i>
    <i>
      <x v="235"/>
    </i>
    <i>
      <x v="78"/>
    </i>
    <i>
      <x v="238"/>
    </i>
    <i>
      <x v="310"/>
    </i>
    <i>
      <x v="104"/>
    </i>
    <i>
      <x v="12"/>
    </i>
    <i>
      <x v="281"/>
    </i>
    <i>
      <x v="197"/>
    </i>
    <i>
      <x v="289"/>
    </i>
    <i>
      <x v="199"/>
    </i>
    <i>
      <x v="294"/>
    </i>
    <i>
      <x v="210"/>
    </i>
    <i>
      <x v="44"/>
    </i>
    <i>
      <x v="211"/>
    </i>
    <i>
      <x v="56"/>
    </i>
    <i>
      <x v="215"/>
    </i>
    <i>
      <x v="317"/>
    </i>
    <i>
      <x v="193"/>
    </i>
    <i>
      <x v="194"/>
    </i>
    <i t="grand">
      <x/>
    </i>
  </rowItems>
  <colItems count="1">
    <i/>
  </colItems>
  <dataFields count="1">
    <dataField name="Count of POTM"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BB6C2F-9E55-4F8D-A4B9-4D12C666A527}"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4">
    <pivotField showAll="0"/>
    <pivotField showAll="0"/>
    <pivotField axis="axisRow" showAll="0">
      <items count="20">
        <item h="1" x="0"/>
        <item h="1" x="1"/>
        <item h="1" x="2"/>
        <item h="1" x="3"/>
        <item h="1" x="4"/>
        <item h="1" x="5"/>
        <item h="1" x="6"/>
        <item h="1" x="7"/>
        <item h="1" x="8"/>
        <item h="1" x="9"/>
        <item h="1" x="10"/>
        <item h="1" x="11"/>
        <item h="1" x="12"/>
        <item h="1" x="13"/>
        <item h="1" x="14"/>
        <item h="1" x="15"/>
        <item h="1" x="16"/>
        <item h="1" x="17"/>
        <item x="18"/>
        <item t="default"/>
      </items>
    </pivotField>
    <pivotField numFmtId="14" showAll="0"/>
    <pivotField showAll="0"/>
    <pivotField showAll="0"/>
    <pivotField showAll="0"/>
    <pivotField showAll="0"/>
    <pivotField showAll="0"/>
    <pivotField showAll="0"/>
    <pivotField showAll="0"/>
    <pivotField showAll="0"/>
    <pivotField showAll="0"/>
    <pivotField showAll="0"/>
  </pivotFields>
  <rowFields count="1">
    <field x="2"/>
  </rowFields>
  <rowItems count="2">
    <i>
      <x v="1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623555DC-F7FC-4A8E-8EB7-6A24E2395E34}" sourceName="SEASON">
  <pivotTables>
    <pivotTable tabId="11" name="PivotTable7"/>
    <pivotTable tabId="4" name="PivotTable1"/>
    <pivotTable tabId="7" name="POTM"/>
    <pivotTable tabId="5" name="PivotTable2"/>
    <pivotTable tabId="6" name="PivotTable3"/>
  </pivotTables>
  <data>
    <tabular pivotCacheId="700444248">
      <items count="19">
        <i x="0"/>
        <i x="1"/>
        <i x="2"/>
        <i x="3"/>
        <i x="4"/>
        <i x="5"/>
        <i x="6"/>
        <i x="7"/>
        <i x="8"/>
        <i x="9"/>
        <i x="10"/>
        <i x="11"/>
        <i x="12"/>
        <i x="13"/>
        <i x="14"/>
        <i x="15"/>
        <i x="16"/>
        <i x="17"/>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7B54F51-F46D-4984-BE23-0F8739FACFDE}" cache="Slicer_SEASON1" caption="SEASON" columnCount="19" showCaption="0"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521A62E-FDAD-4ED7-9731-6CF0695BC881}" cache="Slicer_SEASON1" caption="SEASON" startItem="9"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6710510E-8C6C-4172-A445-A99288AF74C6}" cache="Slicer_SEASON1" caption="SEASON" startItem="11"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555506-121D-4A34-AE5D-AFCAD48E45ED}" name="Table2" displayName="Table2" ref="L26:O44" totalsRowShown="0">
  <autoFilter ref="L26:O44" xr:uid="{02555506-121D-4A34-AE5D-AFCAD48E45ED}"/>
  <tableColumns count="4">
    <tableColumn id="1" xr3:uid="{D04711FA-D959-4799-994B-44A8861CDFD0}" name="SEASON"/>
    <tableColumn id="2" xr3:uid="{C6BEA1A7-0A96-46FD-AB87-ECB278A6E10F}" name="CHAMPION"/>
    <tableColumn id="3" xr3:uid="{64DECEE6-34D1-4880-8F42-91D2EABE42EC}" name="RUNNER UP"/>
    <tableColumn id="4" xr3:uid="{B3A5D0AB-000C-4E03-BC67-5F74C881D04C}" name="PLAYER OF THE SE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813D-3F45-4E88-BAD4-B44C25F4996F}">
  <dimension ref="A3:F14"/>
  <sheetViews>
    <sheetView workbookViewId="0">
      <selection activeCell="G11" sqref="G11"/>
    </sheetView>
  </sheetViews>
  <sheetFormatPr baseColWidth="10" defaultColWidth="8.83203125" defaultRowHeight="15" x14ac:dyDescent="0.2"/>
  <cols>
    <col min="1" max="1" width="24" bestFit="1" customWidth="1"/>
    <col min="2" max="2" width="16.5" bestFit="1" customWidth="1"/>
    <col min="5" max="5" width="23.1640625" customWidth="1"/>
  </cols>
  <sheetData>
    <row r="3" spans="1:6" x14ac:dyDescent="0.2">
      <c r="A3" s="2" t="s">
        <v>520</v>
      </c>
      <c r="B3" t="s">
        <v>527</v>
      </c>
    </row>
    <row r="4" spans="1:6" x14ac:dyDescent="0.2">
      <c r="A4" s="3" t="s">
        <v>15</v>
      </c>
      <c r="B4">
        <v>5</v>
      </c>
    </row>
    <row r="5" spans="1:6" x14ac:dyDescent="0.2">
      <c r="A5" s="3" t="s">
        <v>24</v>
      </c>
      <c r="B5">
        <v>5</v>
      </c>
    </row>
    <row r="6" spans="1:6" x14ac:dyDescent="0.2">
      <c r="A6" s="3" t="s">
        <v>29</v>
      </c>
      <c r="B6">
        <v>3</v>
      </c>
    </row>
    <row r="7" spans="1:6" x14ac:dyDescent="0.2">
      <c r="A7" s="3" t="s">
        <v>61</v>
      </c>
      <c r="B7">
        <v>1</v>
      </c>
      <c r="E7" t="str">
        <f>A4</f>
        <v>Chennai Super Kings</v>
      </c>
      <c r="F7">
        <f>GETPIVOTDATA("champion",$A$3,"champion",A4)</f>
        <v>5</v>
      </c>
    </row>
    <row r="8" spans="1:6" x14ac:dyDescent="0.2">
      <c r="A8" s="3" t="s">
        <v>19</v>
      </c>
      <c r="B8">
        <v>1</v>
      </c>
      <c r="E8" t="str">
        <f t="shared" ref="E8:E14" si="0">A5</f>
        <v>Mumbai Indians</v>
      </c>
      <c r="F8">
        <f t="shared" ref="F8:F14" si="1">GETPIVOTDATA("champion",$A$3,"champion",A5)</f>
        <v>5</v>
      </c>
    </row>
    <row r="9" spans="1:6" x14ac:dyDescent="0.2">
      <c r="A9" s="3" t="s">
        <v>39</v>
      </c>
      <c r="B9">
        <v>1</v>
      </c>
      <c r="E9" t="str">
        <f t="shared" si="0"/>
        <v>Kolkata Knight Riders</v>
      </c>
      <c r="F9">
        <f t="shared" si="1"/>
        <v>3</v>
      </c>
    </row>
    <row r="10" spans="1:6" x14ac:dyDescent="0.2">
      <c r="A10" s="3" t="s">
        <v>55</v>
      </c>
      <c r="B10">
        <v>1</v>
      </c>
      <c r="E10" t="str">
        <f t="shared" si="0"/>
        <v>Royal Challengers Bengaluru</v>
      </c>
      <c r="F10">
        <f t="shared" si="1"/>
        <v>1</v>
      </c>
    </row>
    <row r="11" spans="1:6" x14ac:dyDescent="0.2">
      <c r="A11" s="3" t="s">
        <v>14</v>
      </c>
      <c r="B11">
        <v>1</v>
      </c>
      <c r="E11" t="str">
        <f t="shared" si="0"/>
        <v>Deccan Chargers</v>
      </c>
      <c r="F11">
        <f t="shared" si="1"/>
        <v>1</v>
      </c>
    </row>
    <row r="12" spans="1:6" x14ac:dyDescent="0.2">
      <c r="A12" s="3" t="s">
        <v>521</v>
      </c>
      <c r="B12">
        <v>18</v>
      </c>
      <c r="E12" t="str">
        <f t="shared" si="0"/>
        <v>Sunrisers Hyderabad</v>
      </c>
      <c r="F12">
        <f t="shared" si="1"/>
        <v>1</v>
      </c>
    </row>
    <row r="13" spans="1:6" x14ac:dyDescent="0.2">
      <c r="E13" t="str">
        <f t="shared" si="0"/>
        <v>Gujarat Titans</v>
      </c>
      <c r="F13">
        <f t="shared" si="1"/>
        <v>1</v>
      </c>
    </row>
    <row r="14" spans="1:6" x14ac:dyDescent="0.2">
      <c r="E14" t="str">
        <f t="shared" si="0"/>
        <v>Rajasthan Royals</v>
      </c>
      <c r="F14">
        <f t="shared" si="1"/>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661F-BD9F-447B-AA25-BB7490AF4322}">
  <dimension ref="A1"/>
  <sheetViews>
    <sheetView showGridLines="0" tabSelected="1" topLeftCell="B1" zoomScale="68" workbookViewId="0">
      <selection activeCell="AI18" sqref="AI18"/>
    </sheetView>
  </sheetViews>
  <sheetFormatPr baseColWidth="10" defaultColWidth="8.83203125"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5D06B-93F4-4F25-89B1-C8B91FF5D9C1}">
  <dimension ref="A1:N19"/>
  <sheetViews>
    <sheetView workbookViewId="0">
      <selection activeCell="B18" sqref="B18"/>
    </sheetView>
  </sheetViews>
  <sheetFormatPr baseColWidth="10" defaultColWidth="8.83203125" defaultRowHeight="15"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500</v>
      </c>
      <c r="B2">
        <v>59</v>
      </c>
      <c r="C2">
        <v>8</v>
      </c>
      <c r="D2" t="s">
        <v>14</v>
      </c>
      <c r="E2" t="s">
        <v>15</v>
      </c>
      <c r="F2" t="s">
        <v>16</v>
      </c>
      <c r="G2" t="s">
        <v>17</v>
      </c>
      <c r="H2" t="s">
        <v>18</v>
      </c>
      <c r="I2">
        <v>17150</v>
      </c>
      <c r="J2">
        <v>622</v>
      </c>
      <c r="K2">
        <v>1534</v>
      </c>
      <c r="L2">
        <v>151</v>
      </c>
      <c r="M2">
        <v>222</v>
      </c>
      <c r="N2">
        <v>58</v>
      </c>
    </row>
    <row r="3" spans="1:14" x14ac:dyDescent="0.2">
      <c r="A3" t="s">
        <v>501</v>
      </c>
      <c r="B3">
        <v>59</v>
      </c>
      <c r="C3">
        <v>8</v>
      </c>
      <c r="D3" t="s">
        <v>19</v>
      </c>
      <c r="E3" t="s">
        <v>20</v>
      </c>
      <c r="F3" t="s">
        <v>21</v>
      </c>
      <c r="G3" t="s">
        <v>22</v>
      </c>
      <c r="H3" t="s">
        <v>23</v>
      </c>
      <c r="I3">
        <v>16800</v>
      </c>
      <c r="J3">
        <v>506</v>
      </c>
      <c r="K3">
        <v>1416</v>
      </c>
      <c r="L3">
        <v>148</v>
      </c>
      <c r="M3">
        <v>214</v>
      </c>
      <c r="N3">
        <v>63</v>
      </c>
    </row>
    <row r="4" spans="1:14" x14ac:dyDescent="0.2">
      <c r="A4" t="s">
        <v>502</v>
      </c>
      <c r="B4">
        <v>60</v>
      </c>
      <c r="C4">
        <v>8</v>
      </c>
      <c r="D4" t="s">
        <v>15</v>
      </c>
      <c r="E4" t="s">
        <v>24</v>
      </c>
      <c r="F4" t="s">
        <v>25</v>
      </c>
      <c r="G4" t="s">
        <v>26</v>
      </c>
      <c r="H4" t="s">
        <v>25</v>
      </c>
      <c r="I4">
        <v>18000</v>
      </c>
      <c r="J4">
        <v>585</v>
      </c>
      <c r="K4">
        <v>1500</v>
      </c>
      <c r="L4">
        <v>153</v>
      </c>
      <c r="M4">
        <v>246</v>
      </c>
      <c r="N4">
        <v>61</v>
      </c>
    </row>
    <row r="5" spans="1:14" x14ac:dyDescent="0.2">
      <c r="A5" t="s">
        <v>503</v>
      </c>
      <c r="B5">
        <v>74</v>
      </c>
      <c r="C5">
        <v>10</v>
      </c>
      <c r="D5" t="s">
        <v>15</v>
      </c>
      <c r="E5" t="s">
        <v>20</v>
      </c>
      <c r="F5" t="s">
        <v>27</v>
      </c>
      <c r="G5" t="s">
        <v>28</v>
      </c>
      <c r="H5" t="s">
        <v>27</v>
      </c>
      <c r="I5">
        <v>22200</v>
      </c>
      <c r="J5">
        <v>639</v>
      </c>
      <c r="K5">
        <v>1924</v>
      </c>
      <c r="L5">
        <v>150</v>
      </c>
      <c r="M5">
        <v>211</v>
      </c>
      <c r="N5">
        <v>65</v>
      </c>
    </row>
    <row r="6" spans="1:14" x14ac:dyDescent="0.2">
      <c r="A6" t="s">
        <v>504</v>
      </c>
      <c r="B6">
        <v>76</v>
      </c>
      <c r="C6">
        <v>9</v>
      </c>
      <c r="D6" t="s">
        <v>29</v>
      </c>
      <c r="E6" t="s">
        <v>15</v>
      </c>
      <c r="F6" t="s">
        <v>27</v>
      </c>
      <c r="G6" t="s">
        <v>30</v>
      </c>
      <c r="H6" t="s">
        <v>27</v>
      </c>
      <c r="I6">
        <v>23500</v>
      </c>
      <c r="J6">
        <v>731</v>
      </c>
      <c r="K6">
        <v>2052</v>
      </c>
      <c r="L6">
        <v>156</v>
      </c>
      <c r="M6">
        <v>215</v>
      </c>
      <c r="N6">
        <v>58</v>
      </c>
    </row>
    <row r="7" spans="1:14" x14ac:dyDescent="0.2">
      <c r="A7" t="s">
        <v>505</v>
      </c>
      <c r="B7">
        <v>76</v>
      </c>
      <c r="C7">
        <v>9</v>
      </c>
      <c r="D7" t="s">
        <v>24</v>
      </c>
      <c r="E7" t="s">
        <v>15</v>
      </c>
      <c r="F7" t="s">
        <v>31</v>
      </c>
      <c r="G7" t="s">
        <v>32</v>
      </c>
      <c r="H7" t="s">
        <v>18</v>
      </c>
      <c r="I7">
        <v>23100</v>
      </c>
      <c r="J7">
        <v>672</v>
      </c>
      <c r="K7">
        <v>1976</v>
      </c>
      <c r="L7">
        <v>155</v>
      </c>
      <c r="M7">
        <v>263</v>
      </c>
      <c r="N7">
        <v>58</v>
      </c>
    </row>
    <row r="8" spans="1:14" x14ac:dyDescent="0.2">
      <c r="A8" t="s">
        <v>506</v>
      </c>
      <c r="B8">
        <v>60</v>
      </c>
      <c r="C8">
        <v>8</v>
      </c>
      <c r="D8" t="s">
        <v>29</v>
      </c>
      <c r="E8" t="s">
        <v>33</v>
      </c>
      <c r="F8" t="s">
        <v>34</v>
      </c>
      <c r="G8" t="s">
        <v>35</v>
      </c>
      <c r="H8" t="s">
        <v>36</v>
      </c>
      <c r="I8">
        <v>18900</v>
      </c>
      <c r="J8">
        <v>714</v>
      </c>
      <c r="K8">
        <v>1620</v>
      </c>
      <c r="L8">
        <v>157</v>
      </c>
      <c r="M8">
        <v>224</v>
      </c>
      <c r="N8">
        <v>66</v>
      </c>
    </row>
    <row r="9" spans="1:14" x14ac:dyDescent="0.2">
      <c r="A9" t="s">
        <v>507</v>
      </c>
      <c r="B9">
        <v>60</v>
      </c>
      <c r="C9">
        <v>8</v>
      </c>
      <c r="D9" t="s">
        <v>24</v>
      </c>
      <c r="E9" t="s">
        <v>15</v>
      </c>
      <c r="F9" t="s">
        <v>37</v>
      </c>
      <c r="G9" t="s">
        <v>32</v>
      </c>
      <c r="H9" t="s">
        <v>38</v>
      </c>
      <c r="I9">
        <v>18400</v>
      </c>
      <c r="J9">
        <v>692</v>
      </c>
      <c r="K9">
        <v>1560</v>
      </c>
      <c r="L9">
        <v>153</v>
      </c>
      <c r="M9">
        <v>235</v>
      </c>
      <c r="N9">
        <v>67</v>
      </c>
    </row>
    <row r="10" spans="1:14" x14ac:dyDescent="0.2">
      <c r="A10" t="s">
        <v>508</v>
      </c>
      <c r="B10">
        <v>60</v>
      </c>
      <c r="C10">
        <v>8</v>
      </c>
      <c r="D10" t="s">
        <v>39</v>
      </c>
      <c r="E10" t="s">
        <v>20</v>
      </c>
      <c r="F10" t="s">
        <v>40</v>
      </c>
      <c r="G10" t="s">
        <v>41</v>
      </c>
      <c r="H10" t="s">
        <v>40</v>
      </c>
      <c r="I10">
        <v>19500</v>
      </c>
      <c r="J10">
        <v>638</v>
      </c>
      <c r="K10">
        <v>1620</v>
      </c>
      <c r="L10">
        <v>160</v>
      </c>
      <c r="M10">
        <v>248</v>
      </c>
      <c r="N10">
        <v>61</v>
      </c>
    </row>
    <row r="11" spans="1:14" x14ac:dyDescent="0.2">
      <c r="A11" t="s">
        <v>509</v>
      </c>
      <c r="B11">
        <v>59</v>
      </c>
      <c r="C11">
        <v>8</v>
      </c>
      <c r="D11" t="s">
        <v>24</v>
      </c>
      <c r="E11" t="s">
        <v>42</v>
      </c>
      <c r="F11" t="s">
        <v>37</v>
      </c>
      <c r="G11" t="s">
        <v>41</v>
      </c>
      <c r="H11" t="s">
        <v>43</v>
      </c>
      <c r="I11">
        <v>18500</v>
      </c>
      <c r="J11">
        <v>705</v>
      </c>
      <c r="K11">
        <v>1534</v>
      </c>
      <c r="L11">
        <v>158</v>
      </c>
      <c r="M11">
        <v>231</v>
      </c>
      <c r="N11">
        <v>49</v>
      </c>
    </row>
    <row r="12" spans="1:14" x14ac:dyDescent="0.2">
      <c r="A12" t="s">
        <v>510</v>
      </c>
      <c r="B12">
        <v>60</v>
      </c>
      <c r="C12">
        <v>8</v>
      </c>
      <c r="D12" t="s">
        <v>15</v>
      </c>
      <c r="E12" t="s">
        <v>39</v>
      </c>
      <c r="F12" t="s">
        <v>44</v>
      </c>
      <c r="G12" t="s">
        <v>45</v>
      </c>
      <c r="H12" t="s">
        <v>46</v>
      </c>
      <c r="I12">
        <v>20600</v>
      </c>
      <c r="J12">
        <v>872</v>
      </c>
      <c r="K12">
        <v>1560</v>
      </c>
      <c r="L12">
        <v>165</v>
      </c>
      <c r="M12">
        <v>232</v>
      </c>
      <c r="N12">
        <v>70</v>
      </c>
    </row>
    <row r="13" spans="1:14" x14ac:dyDescent="0.2">
      <c r="A13" t="s">
        <v>511</v>
      </c>
      <c r="B13">
        <v>60</v>
      </c>
      <c r="C13">
        <v>8</v>
      </c>
      <c r="D13" t="s">
        <v>24</v>
      </c>
      <c r="E13" t="s">
        <v>15</v>
      </c>
      <c r="F13" t="s">
        <v>37</v>
      </c>
      <c r="G13" t="s">
        <v>47</v>
      </c>
      <c r="H13" t="s">
        <v>48</v>
      </c>
      <c r="I13">
        <v>19800</v>
      </c>
      <c r="J13">
        <v>784</v>
      </c>
      <c r="K13">
        <v>1560</v>
      </c>
      <c r="L13">
        <v>162</v>
      </c>
      <c r="M13">
        <v>232</v>
      </c>
      <c r="N13">
        <v>70</v>
      </c>
    </row>
    <row r="14" spans="1:14" x14ac:dyDescent="0.2">
      <c r="A14" t="s">
        <v>512</v>
      </c>
      <c r="B14">
        <v>60</v>
      </c>
      <c r="C14">
        <v>8</v>
      </c>
      <c r="D14" t="s">
        <v>24</v>
      </c>
      <c r="E14" t="s">
        <v>49</v>
      </c>
      <c r="F14" t="s">
        <v>50</v>
      </c>
      <c r="G14" t="s">
        <v>51</v>
      </c>
      <c r="H14" t="s">
        <v>52</v>
      </c>
      <c r="I14">
        <v>19100</v>
      </c>
      <c r="J14">
        <v>734</v>
      </c>
      <c r="K14">
        <v>1560</v>
      </c>
      <c r="L14">
        <v>160</v>
      </c>
      <c r="M14">
        <v>228</v>
      </c>
      <c r="N14">
        <v>67</v>
      </c>
    </row>
    <row r="15" spans="1:14" x14ac:dyDescent="0.2">
      <c r="A15" t="s">
        <v>513</v>
      </c>
      <c r="B15">
        <v>60</v>
      </c>
      <c r="C15">
        <v>8</v>
      </c>
      <c r="D15" t="s">
        <v>15</v>
      </c>
      <c r="E15" t="s">
        <v>29</v>
      </c>
      <c r="F15" t="s">
        <v>53</v>
      </c>
      <c r="G15" t="s">
        <v>54</v>
      </c>
      <c r="H15" t="s">
        <v>54</v>
      </c>
      <c r="I15">
        <v>18900</v>
      </c>
      <c r="J15">
        <v>687</v>
      </c>
      <c r="K15">
        <v>1560</v>
      </c>
      <c r="L15">
        <v>158</v>
      </c>
      <c r="M15">
        <v>218</v>
      </c>
      <c r="N15">
        <v>61</v>
      </c>
    </row>
    <row r="16" spans="1:14" x14ac:dyDescent="0.2">
      <c r="A16" t="s">
        <v>514</v>
      </c>
      <c r="B16">
        <v>74</v>
      </c>
      <c r="C16">
        <v>10</v>
      </c>
      <c r="D16" t="s">
        <v>55</v>
      </c>
      <c r="E16" t="s">
        <v>14</v>
      </c>
      <c r="F16" t="s">
        <v>56</v>
      </c>
      <c r="G16" t="s">
        <v>57</v>
      </c>
      <c r="H16" t="s">
        <v>58</v>
      </c>
      <c r="I16">
        <v>25600</v>
      </c>
      <c r="J16">
        <v>1062</v>
      </c>
      <c r="K16">
        <v>1998</v>
      </c>
      <c r="L16">
        <v>165</v>
      </c>
      <c r="M16">
        <v>220</v>
      </c>
      <c r="N16">
        <v>57</v>
      </c>
    </row>
    <row r="17" spans="1:14" x14ac:dyDescent="0.2">
      <c r="A17" t="s">
        <v>515</v>
      </c>
      <c r="B17">
        <v>74</v>
      </c>
      <c r="C17">
        <v>10</v>
      </c>
      <c r="D17" t="s">
        <v>15</v>
      </c>
      <c r="E17" t="s">
        <v>55</v>
      </c>
      <c r="F17" t="s">
        <v>59</v>
      </c>
      <c r="G17" t="s">
        <v>60</v>
      </c>
      <c r="H17" t="s">
        <v>59</v>
      </c>
      <c r="I17">
        <v>26200</v>
      </c>
      <c r="J17">
        <v>1124</v>
      </c>
      <c r="K17">
        <v>2174</v>
      </c>
      <c r="L17">
        <v>172</v>
      </c>
      <c r="M17">
        <v>257</v>
      </c>
      <c r="N17">
        <v>65</v>
      </c>
    </row>
    <row r="18" spans="1:14" x14ac:dyDescent="0.2">
      <c r="A18" t="s">
        <v>516</v>
      </c>
      <c r="B18">
        <v>72</v>
      </c>
      <c r="C18">
        <v>10</v>
      </c>
      <c r="D18" t="s">
        <v>29</v>
      </c>
      <c r="E18" t="s">
        <v>39</v>
      </c>
      <c r="F18" t="s">
        <v>40</v>
      </c>
      <c r="G18" t="s">
        <v>54</v>
      </c>
      <c r="H18" t="s">
        <v>46</v>
      </c>
      <c r="I18">
        <v>26500</v>
      </c>
      <c r="J18">
        <v>1260</v>
      </c>
      <c r="K18">
        <v>2174</v>
      </c>
      <c r="L18">
        <v>181</v>
      </c>
      <c r="M18">
        <v>287</v>
      </c>
      <c r="N18">
        <v>57</v>
      </c>
    </row>
    <row r="19" spans="1:14" x14ac:dyDescent="0.2">
      <c r="A19" t="s">
        <v>517</v>
      </c>
      <c r="B19">
        <v>73</v>
      </c>
      <c r="C19">
        <v>10</v>
      </c>
      <c r="D19" t="s">
        <v>61</v>
      </c>
      <c r="E19" t="s">
        <v>62</v>
      </c>
      <c r="F19" t="s">
        <v>63</v>
      </c>
      <c r="G19" t="s">
        <v>64</v>
      </c>
      <c r="H19" t="s">
        <v>65</v>
      </c>
      <c r="I19">
        <v>27000</v>
      </c>
      <c r="J19">
        <v>1294</v>
      </c>
      <c r="K19">
        <v>2190</v>
      </c>
      <c r="L19">
        <v>183</v>
      </c>
      <c r="M19">
        <v>269</v>
      </c>
      <c r="N19">
        <v>62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9BA7-60F8-49CB-AED7-A8D1BFF4072A}">
  <dimension ref="A3:D15"/>
  <sheetViews>
    <sheetView topLeftCell="B1" workbookViewId="0">
      <selection activeCell="R4" sqref="R4"/>
    </sheetView>
  </sheetViews>
  <sheetFormatPr baseColWidth="10" defaultColWidth="8.83203125" defaultRowHeight="15" x14ac:dyDescent="0.2"/>
  <cols>
    <col min="1" max="1" width="22.6640625" bestFit="1" customWidth="1"/>
    <col min="2" max="2" width="15.1640625" bestFit="1" customWidth="1"/>
    <col min="3" max="3" width="4.6640625" bestFit="1" customWidth="1"/>
    <col min="4" max="4" width="10" bestFit="1" customWidth="1"/>
  </cols>
  <sheetData>
    <row r="3" spans="1:4" x14ac:dyDescent="0.2">
      <c r="A3" s="2" t="s">
        <v>522</v>
      </c>
      <c r="B3" s="2" t="s">
        <v>523</v>
      </c>
    </row>
    <row r="4" spans="1:4" x14ac:dyDescent="0.2">
      <c r="A4" s="2" t="s">
        <v>520</v>
      </c>
      <c r="B4" t="s">
        <v>77</v>
      </c>
      <c r="C4" t="s">
        <v>89</v>
      </c>
      <c r="D4" t="s">
        <v>521</v>
      </c>
    </row>
    <row r="5" spans="1:4" x14ac:dyDescent="0.2">
      <c r="A5" s="3" t="s">
        <v>15</v>
      </c>
      <c r="B5" s="8">
        <v>2</v>
      </c>
      <c r="C5" s="8">
        <v>4</v>
      </c>
      <c r="D5" s="8">
        <v>6</v>
      </c>
    </row>
    <row r="6" spans="1:4" x14ac:dyDescent="0.2">
      <c r="A6" s="3" t="s">
        <v>49</v>
      </c>
      <c r="B6" s="8">
        <v>1</v>
      </c>
      <c r="C6" s="8">
        <v>5</v>
      </c>
      <c r="D6" s="8">
        <v>6</v>
      </c>
    </row>
    <row r="7" spans="1:4" x14ac:dyDescent="0.2">
      <c r="A7" s="3" t="s">
        <v>55</v>
      </c>
      <c r="B7" s="8">
        <v>1</v>
      </c>
      <c r="C7" s="8">
        <v>8</v>
      </c>
      <c r="D7" s="8">
        <v>9</v>
      </c>
    </row>
    <row r="8" spans="1:4" x14ac:dyDescent="0.2">
      <c r="A8" s="3" t="s">
        <v>29</v>
      </c>
      <c r="B8" s="8">
        <v>2</v>
      </c>
      <c r="C8" s="8">
        <v>3</v>
      </c>
      <c r="D8" s="8">
        <v>5</v>
      </c>
    </row>
    <row r="9" spans="1:4" x14ac:dyDescent="0.2">
      <c r="A9" s="3" t="s">
        <v>117</v>
      </c>
      <c r="B9" s="8"/>
      <c r="C9" s="8">
        <v>4</v>
      </c>
      <c r="D9" s="8">
        <v>4</v>
      </c>
    </row>
    <row r="10" spans="1:4" x14ac:dyDescent="0.2">
      <c r="A10" s="3" t="s">
        <v>24</v>
      </c>
      <c r="B10" s="8"/>
      <c r="C10" s="8">
        <v>4</v>
      </c>
      <c r="D10" s="8">
        <v>4</v>
      </c>
    </row>
    <row r="11" spans="1:4" x14ac:dyDescent="0.2">
      <c r="A11" s="3" t="s">
        <v>62</v>
      </c>
      <c r="B11" s="8">
        <v>1</v>
      </c>
      <c r="C11" s="8">
        <v>5</v>
      </c>
      <c r="D11" s="8">
        <v>6</v>
      </c>
    </row>
    <row r="12" spans="1:4" x14ac:dyDescent="0.2">
      <c r="A12" s="3" t="s">
        <v>14</v>
      </c>
      <c r="B12" s="8">
        <v>1</v>
      </c>
      <c r="C12" s="8">
        <v>6</v>
      </c>
      <c r="D12" s="8">
        <v>7</v>
      </c>
    </row>
    <row r="13" spans="1:4" x14ac:dyDescent="0.2">
      <c r="A13" s="3" t="s">
        <v>61</v>
      </c>
      <c r="B13" s="8"/>
      <c r="C13" s="8">
        <v>9</v>
      </c>
      <c r="D13" s="8">
        <v>9</v>
      </c>
    </row>
    <row r="14" spans="1:4" x14ac:dyDescent="0.2">
      <c r="A14" s="3" t="s">
        <v>39</v>
      </c>
      <c r="B14" s="8">
        <v>2</v>
      </c>
      <c r="C14" s="8">
        <v>6</v>
      </c>
      <c r="D14" s="8">
        <v>8</v>
      </c>
    </row>
    <row r="15" spans="1:4" x14ac:dyDescent="0.2">
      <c r="A15" s="3" t="s">
        <v>521</v>
      </c>
      <c r="B15" s="8">
        <v>10</v>
      </c>
      <c r="C15" s="8">
        <v>54</v>
      </c>
      <c r="D15" s="8">
        <v>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1E84B-0D88-4FD9-AC0A-254983664061}">
  <dimension ref="A3:B6"/>
  <sheetViews>
    <sheetView workbookViewId="0">
      <selection activeCell="L18" sqref="L18"/>
    </sheetView>
  </sheetViews>
  <sheetFormatPr baseColWidth="10" defaultColWidth="8.83203125" defaultRowHeight="15" x14ac:dyDescent="0.2"/>
  <cols>
    <col min="1" max="1" width="12.1640625" bestFit="1" customWidth="1"/>
    <col min="2" max="2" width="13.5" bestFit="1" customWidth="1"/>
    <col min="3" max="3" width="4.83203125" bestFit="1" customWidth="1"/>
    <col min="4" max="4" width="10.5" bestFit="1" customWidth="1"/>
  </cols>
  <sheetData>
    <row r="3" spans="1:2" x14ac:dyDescent="0.2">
      <c r="A3" s="2" t="s">
        <v>520</v>
      </c>
      <c r="B3" t="s">
        <v>522</v>
      </c>
    </row>
    <row r="4" spans="1:2" x14ac:dyDescent="0.2">
      <c r="A4" s="3" t="s">
        <v>77</v>
      </c>
      <c r="B4" s="4">
        <v>0.16666666666666666</v>
      </c>
    </row>
    <row r="5" spans="1:2" x14ac:dyDescent="0.2">
      <c r="A5" s="3" t="s">
        <v>89</v>
      </c>
      <c r="B5" s="4">
        <v>0.83333333333333337</v>
      </c>
    </row>
    <row r="6" spans="1:2" x14ac:dyDescent="0.2">
      <c r="A6" s="3" t="s">
        <v>521</v>
      </c>
      <c r="B6"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21156-7AAE-499C-AA11-73835F56F49A}">
  <dimension ref="A3:D15"/>
  <sheetViews>
    <sheetView workbookViewId="0">
      <selection activeCell="D5" sqref="D5"/>
    </sheetView>
  </sheetViews>
  <sheetFormatPr baseColWidth="10" defaultColWidth="8.83203125" defaultRowHeight="15" x14ac:dyDescent="0.2"/>
  <cols>
    <col min="1" max="1" width="56.1640625" bestFit="1" customWidth="1"/>
    <col min="2" max="2" width="15.1640625" bestFit="1" customWidth="1"/>
    <col min="3" max="3" width="4.6640625" bestFit="1" customWidth="1"/>
    <col min="4" max="4" width="10" bestFit="1" customWidth="1"/>
  </cols>
  <sheetData>
    <row r="3" spans="1:4" x14ac:dyDescent="0.2">
      <c r="A3" s="2" t="s">
        <v>522</v>
      </c>
      <c r="B3" s="2" t="s">
        <v>523</v>
      </c>
    </row>
    <row r="4" spans="1:4" x14ac:dyDescent="0.2">
      <c r="A4" s="2" t="s">
        <v>520</v>
      </c>
      <c r="B4" t="s">
        <v>77</v>
      </c>
      <c r="C4" t="s">
        <v>89</v>
      </c>
      <c r="D4" t="s">
        <v>521</v>
      </c>
    </row>
    <row r="5" spans="1:4" x14ac:dyDescent="0.2">
      <c r="A5" s="3" t="s">
        <v>84</v>
      </c>
      <c r="B5" s="8">
        <v>1</v>
      </c>
      <c r="C5" s="8">
        <v>3</v>
      </c>
      <c r="D5" s="8">
        <v>4</v>
      </c>
    </row>
    <row r="6" spans="1:4" x14ac:dyDescent="0.2">
      <c r="A6" s="3" t="s">
        <v>409</v>
      </c>
      <c r="B6" s="8"/>
      <c r="C6" s="8">
        <v>4</v>
      </c>
      <c r="D6" s="8">
        <v>4</v>
      </c>
    </row>
    <row r="7" spans="1:4" x14ac:dyDescent="0.2">
      <c r="A7" s="3" t="s">
        <v>242</v>
      </c>
      <c r="B7" s="8"/>
      <c r="C7" s="8">
        <v>5</v>
      </c>
      <c r="D7" s="8">
        <v>5</v>
      </c>
    </row>
    <row r="8" spans="1:4" x14ac:dyDescent="0.2">
      <c r="A8" s="3" t="s">
        <v>155</v>
      </c>
      <c r="B8" s="8"/>
      <c r="C8" s="8">
        <v>6</v>
      </c>
      <c r="D8" s="8">
        <v>6</v>
      </c>
    </row>
    <row r="9" spans="1:4" x14ac:dyDescent="0.2">
      <c r="A9" s="3" t="s">
        <v>235</v>
      </c>
      <c r="B9" s="8">
        <v>1</v>
      </c>
      <c r="C9" s="8">
        <v>5</v>
      </c>
      <c r="D9" s="8">
        <v>6</v>
      </c>
    </row>
    <row r="10" spans="1:4" x14ac:dyDescent="0.2">
      <c r="A10" s="3" t="s">
        <v>91</v>
      </c>
      <c r="B10" s="8">
        <v>1</v>
      </c>
      <c r="C10" s="8">
        <v>5</v>
      </c>
      <c r="D10" s="8">
        <v>6</v>
      </c>
    </row>
    <row r="11" spans="1:4" x14ac:dyDescent="0.2">
      <c r="A11" s="3" t="s">
        <v>227</v>
      </c>
      <c r="B11" s="8">
        <v>2</v>
      </c>
      <c r="C11" s="8">
        <v>4</v>
      </c>
      <c r="D11" s="8">
        <v>6</v>
      </c>
    </row>
    <row r="12" spans="1:4" x14ac:dyDescent="0.2">
      <c r="A12" s="3" t="s">
        <v>106</v>
      </c>
      <c r="B12" s="8">
        <v>2</v>
      </c>
      <c r="C12" s="8">
        <v>5</v>
      </c>
      <c r="D12" s="8">
        <v>7</v>
      </c>
    </row>
    <row r="13" spans="1:4" x14ac:dyDescent="0.2">
      <c r="A13" s="3" t="s">
        <v>129</v>
      </c>
      <c r="B13" s="8">
        <v>2</v>
      </c>
      <c r="C13" s="8">
        <v>5</v>
      </c>
      <c r="D13" s="8">
        <v>7</v>
      </c>
    </row>
    <row r="14" spans="1:4" x14ac:dyDescent="0.2">
      <c r="A14" s="3" t="s">
        <v>149</v>
      </c>
      <c r="B14" s="8">
        <v>2</v>
      </c>
      <c r="C14" s="8">
        <v>5</v>
      </c>
      <c r="D14" s="8">
        <v>7</v>
      </c>
    </row>
    <row r="15" spans="1:4" x14ac:dyDescent="0.2">
      <c r="A15" s="3" t="s">
        <v>521</v>
      </c>
      <c r="B15" s="8">
        <v>11</v>
      </c>
      <c r="C15" s="8">
        <v>47</v>
      </c>
      <c r="D15" s="8">
        <v>58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E5BF8-F163-4824-8700-50063717A647}">
  <dimension ref="A3:F55"/>
  <sheetViews>
    <sheetView topLeftCell="B1" workbookViewId="0">
      <selection activeCell="B10" sqref="B10"/>
    </sheetView>
  </sheetViews>
  <sheetFormatPr baseColWidth="10" defaultColWidth="8.83203125" defaultRowHeight="15" x14ac:dyDescent="0.2"/>
  <cols>
    <col min="1" max="1" width="16.6640625" bestFit="1" customWidth="1"/>
    <col min="2" max="2" width="12.5" bestFit="1" customWidth="1"/>
    <col min="5" max="5" width="11.5" customWidth="1"/>
    <col min="6" max="6" width="12.1640625" customWidth="1"/>
  </cols>
  <sheetData>
    <row r="3" spans="1:6" x14ac:dyDescent="0.2">
      <c r="A3" s="2" t="s">
        <v>520</v>
      </c>
      <c r="B3" t="s">
        <v>525</v>
      </c>
    </row>
    <row r="4" spans="1:6" x14ac:dyDescent="0.2">
      <c r="A4" s="3" t="s">
        <v>187</v>
      </c>
      <c r="B4" s="8">
        <v>3</v>
      </c>
    </row>
    <row r="5" spans="1:6" x14ac:dyDescent="0.2">
      <c r="A5" s="3" t="s">
        <v>136</v>
      </c>
      <c r="B5" s="8">
        <v>2</v>
      </c>
    </row>
    <row r="6" spans="1:6" x14ac:dyDescent="0.2">
      <c r="A6" s="3" t="s">
        <v>296</v>
      </c>
      <c r="B6" s="8">
        <v>2</v>
      </c>
    </row>
    <row r="7" spans="1:6" x14ac:dyDescent="0.2">
      <c r="A7" s="3" t="s">
        <v>244</v>
      </c>
      <c r="B7" s="8">
        <v>2</v>
      </c>
    </row>
    <row r="8" spans="1:6" x14ac:dyDescent="0.2">
      <c r="A8" s="3" t="s">
        <v>257</v>
      </c>
      <c r="B8" s="8">
        <v>2</v>
      </c>
    </row>
    <row r="9" spans="1:6" x14ac:dyDescent="0.2">
      <c r="A9" s="3" t="s">
        <v>213</v>
      </c>
      <c r="B9" s="8">
        <v>2</v>
      </c>
      <c r="E9" t="s">
        <v>519</v>
      </c>
      <c r="F9" t="s">
        <v>526</v>
      </c>
    </row>
    <row r="10" spans="1:6" x14ac:dyDescent="0.2">
      <c r="A10" s="3" t="s">
        <v>297</v>
      </c>
      <c r="B10" s="8">
        <v>2</v>
      </c>
      <c r="E10" t="str">
        <f>A4</f>
        <v>SV Samson</v>
      </c>
      <c r="F10">
        <f>GETPIVOTDATA("POTM",$A$3,"POTM",A4)</f>
        <v>3</v>
      </c>
    </row>
    <row r="11" spans="1:6" x14ac:dyDescent="0.2">
      <c r="A11" s="3" t="s">
        <v>167</v>
      </c>
      <c r="B11" s="8">
        <v>2</v>
      </c>
      <c r="E11" t="str">
        <f t="shared" ref="E11:E19" si="0">A5</f>
        <v>V Suryavanshi</v>
      </c>
      <c r="F11">
        <f t="shared" ref="F11:F19" si="1">GETPIVOTDATA("POTM",$A$3,"POTM",A5)</f>
        <v>2</v>
      </c>
    </row>
    <row r="12" spans="1:6" x14ac:dyDescent="0.2">
      <c r="A12" s="3" t="s">
        <v>262</v>
      </c>
      <c r="B12" s="8">
        <v>2</v>
      </c>
      <c r="E12" t="str">
        <f t="shared" si="0"/>
        <v>Rashid Khan</v>
      </c>
      <c r="F12">
        <f t="shared" si="1"/>
        <v>2</v>
      </c>
    </row>
    <row r="13" spans="1:6" x14ac:dyDescent="0.2">
      <c r="A13" s="3" t="s">
        <v>266</v>
      </c>
      <c r="B13" s="8">
        <v>2</v>
      </c>
      <c r="E13" t="str">
        <f t="shared" si="0"/>
        <v>CV Varun</v>
      </c>
      <c r="F13">
        <f t="shared" si="1"/>
        <v>2</v>
      </c>
    </row>
    <row r="14" spans="1:6" x14ac:dyDescent="0.2">
      <c r="A14" s="3" t="s">
        <v>325</v>
      </c>
      <c r="B14" s="8">
        <v>2</v>
      </c>
      <c r="E14" t="str">
        <f t="shared" si="0"/>
        <v>V Kohli</v>
      </c>
      <c r="F14">
        <f t="shared" si="1"/>
        <v>2</v>
      </c>
    </row>
    <row r="15" spans="1:6" x14ac:dyDescent="0.2">
      <c r="A15" s="3" t="s">
        <v>429</v>
      </c>
      <c r="B15" s="8">
        <v>2</v>
      </c>
      <c r="E15" t="str">
        <f t="shared" si="0"/>
        <v>Ishan Kishan</v>
      </c>
      <c r="F15">
        <f t="shared" si="1"/>
        <v>2</v>
      </c>
    </row>
    <row r="16" spans="1:6" x14ac:dyDescent="0.2">
      <c r="A16" s="3" t="s">
        <v>50</v>
      </c>
      <c r="B16" s="8">
        <v>2</v>
      </c>
      <c r="E16" t="str">
        <f t="shared" si="0"/>
        <v>Priyansh Arya</v>
      </c>
      <c r="F16">
        <f t="shared" si="1"/>
        <v>2</v>
      </c>
    </row>
    <row r="17" spans="1:6" x14ac:dyDescent="0.2">
      <c r="A17" s="3" t="s">
        <v>346</v>
      </c>
      <c r="B17" s="8">
        <v>2</v>
      </c>
      <c r="E17" t="str">
        <f t="shared" si="0"/>
        <v>JO Holder</v>
      </c>
      <c r="F17">
        <f t="shared" si="1"/>
        <v>2</v>
      </c>
    </row>
    <row r="18" spans="1:6" x14ac:dyDescent="0.2">
      <c r="A18" s="3" t="s">
        <v>276</v>
      </c>
      <c r="B18" s="8">
        <v>1</v>
      </c>
      <c r="E18" t="str">
        <f t="shared" si="0"/>
        <v>Sameer Rizvi</v>
      </c>
      <c r="F18">
        <f t="shared" si="1"/>
        <v>2</v>
      </c>
    </row>
    <row r="19" spans="1:6" x14ac:dyDescent="0.2">
      <c r="A19" s="3" t="s">
        <v>318</v>
      </c>
      <c r="B19" s="8">
        <v>1</v>
      </c>
      <c r="E19" t="str">
        <f t="shared" si="0"/>
        <v>JR Hazlewood</v>
      </c>
      <c r="F19">
        <f t="shared" si="1"/>
        <v>2</v>
      </c>
    </row>
    <row r="20" spans="1:6" x14ac:dyDescent="0.2">
      <c r="A20" s="3" t="s">
        <v>323</v>
      </c>
      <c r="B20" s="8">
        <v>1</v>
      </c>
    </row>
    <row r="21" spans="1:6" x14ac:dyDescent="0.2">
      <c r="A21" s="3" t="s">
        <v>307</v>
      </c>
      <c r="B21" s="8">
        <v>1</v>
      </c>
    </row>
    <row r="22" spans="1:6" x14ac:dyDescent="0.2">
      <c r="A22" s="3" t="s">
        <v>133</v>
      </c>
      <c r="B22" s="8">
        <v>1</v>
      </c>
    </row>
    <row r="23" spans="1:6" x14ac:dyDescent="0.2">
      <c r="A23" s="3" t="s">
        <v>283</v>
      </c>
      <c r="B23" s="8">
        <v>1</v>
      </c>
    </row>
    <row r="24" spans="1:6" x14ac:dyDescent="0.2">
      <c r="A24" s="3" t="s">
        <v>356</v>
      </c>
      <c r="B24" s="8">
        <v>1</v>
      </c>
    </row>
    <row r="25" spans="1:6" x14ac:dyDescent="0.2">
      <c r="A25" s="3" t="s">
        <v>455</v>
      </c>
      <c r="B25" s="8">
        <v>1</v>
      </c>
    </row>
    <row r="26" spans="1:6" x14ac:dyDescent="0.2">
      <c r="A26" s="3" t="s">
        <v>178</v>
      </c>
      <c r="B26" s="8">
        <v>1</v>
      </c>
    </row>
    <row r="27" spans="1:6" x14ac:dyDescent="0.2">
      <c r="A27" s="3" t="s">
        <v>105</v>
      </c>
      <c r="B27" s="8">
        <v>1</v>
      </c>
    </row>
    <row r="28" spans="1:6" x14ac:dyDescent="0.2">
      <c r="A28" s="3" t="s">
        <v>59</v>
      </c>
      <c r="B28" s="8">
        <v>1</v>
      </c>
    </row>
    <row r="29" spans="1:6" x14ac:dyDescent="0.2">
      <c r="A29" s="3" t="s">
        <v>354</v>
      </c>
      <c r="B29" s="8">
        <v>1</v>
      </c>
    </row>
    <row r="30" spans="1:6" x14ac:dyDescent="0.2">
      <c r="A30" s="3" t="s">
        <v>463</v>
      </c>
      <c r="B30" s="8">
        <v>1</v>
      </c>
    </row>
    <row r="31" spans="1:6" x14ac:dyDescent="0.2">
      <c r="A31" s="3" t="s">
        <v>253</v>
      </c>
      <c r="B31" s="8">
        <v>1</v>
      </c>
    </row>
    <row r="32" spans="1:6" x14ac:dyDescent="0.2">
      <c r="A32" s="3" t="s">
        <v>170</v>
      </c>
      <c r="B32" s="8">
        <v>1</v>
      </c>
    </row>
    <row r="33" spans="1:2" x14ac:dyDescent="0.2">
      <c r="A33" s="3" t="s">
        <v>60</v>
      </c>
      <c r="B33" s="8">
        <v>1</v>
      </c>
    </row>
    <row r="34" spans="1:2" x14ac:dyDescent="0.2">
      <c r="A34" s="3" t="s">
        <v>179</v>
      </c>
      <c r="B34" s="8">
        <v>1</v>
      </c>
    </row>
    <row r="35" spans="1:2" x14ac:dyDescent="0.2">
      <c r="A35" s="3" t="s">
        <v>329</v>
      </c>
      <c r="B35" s="8">
        <v>1</v>
      </c>
    </row>
    <row r="36" spans="1:2" x14ac:dyDescent="0.2">
      <c r="A36" s="3" t="s">
        <v>389</v>
      </c>
      <c r="B36" s="8">
        <v>1</v>
      </c>
    </row>
    <row r="37" spans="1:2" x14ac:dyDescent="0.2">
      <c r="A37" s="3" t="s">
        <v>188</v>
      </c>
      <c r="B37" s="8">
        <v>1</v>
      </c>
    </row>
    <row r="38" spans="1:2" x14ac:dyDescent="0.2">
      <c r="A38" s="3" t="s">
        <v>239</v>
      </c>
      <c r="B38" s="8">
        <v>1</v>
      </c>
    </row>
    <row r="39" spans="1:2" x14ac:dyDescent="0.2">
      <c r="A39" s="3" t="s">
        <v>224</v>
      </c>
      <c r="B39" s="8">
        <v>1</v>
      </c>
    </row>
    <row r="40" spans="1:2" x14ac:dyDescent="0.2">
      <c r="A40" s="3" t="s">
        <v>118</v>
      </c>
      <c r="B40" s="8">
        <v>1</v>
      </c>
    </row>
    <row r="41" spans="1:2" x14ac:dyDescent="0.2">
      <c r="A41" s="3" t="s">
        <v>234</v>
      </c>
      <c r="B41" s="8">
        <v>1</v>
      </c>
    </row>
    <row r="42" spans="1:2" x14ac:dyDescent="0.2">
      <c r="A42" s="3" t="s">
        <v>290</v>
      </c>
      <c r="B42" s="8">
        <v>1</v>
      </c>
    </row>
    <row r="43" spans="1:2" x14ac:dyDescent="0.2">
      <c r="A43" s="3" t="s">
        <v>228</v>
      </c>
      <c r="B43" s="8">
        <v>1</v>
      </c>
    </row>
    <row r="44" spans="1:2" x14ac:dyDescent="0.2">
      <c r="A44" s="3" t="s">
        <v>128</v>
      </c>
      <c r="B44" s="8">
        <v>1</v>
      </c>
    </row>
    <row r="45" spans="1:2" x14ac:dyDescent="0.2">
      <c r="A45" s="3" t="s">
        <v>413</v>
      </c>
      <c r="B45" s="8">
        <v>1</v>
      </c>
    </row>
    <row r="46" spans="1:2" x14ac:dyDescent="0.2">
      <c r="A46" s="3" t="s">
        <v>482</v>
      </c>
      <c r="B46" s="8">
        <v>1</v>
      </c>
    </row>
    <row r="47" spans="1:2" x14ac:dyDescent="0.2">
      <c r="A47" s="3" t="s">
        <v>309</v>
      </c>
      <c r="B47" s="8">
        <v>1</v>
      </c>
    </row>
    <row r="48" spans="1:2" x14ac:dyDescent="0.2">
      <c r="A48" s="3" t="s">
        <v>408</v>
      </c>
      <c r="B48" s="8">
        <v>1</v>
      </c>
    </row>
    <row r="49" spans="1:2" x14ac:dyDescent="0.2">
      <c r="A49" s="3" t="s">
        <v>465</v>
      </c>
      <c r="B49" s="8">
        <v>1</v>
      </c>
    </row>
    <row r="50" spans="1:2" x14ac:dyDescent="0.2">
      <c r="A50" s="3" t="s">
        <v>470</v>
      </c>
      <c r="B50" s="8">
        <v>1</v>
      </c>
    </row>
    <row r="51" spans="1:2" x14ac:dyDescent="0.2">
      <c r="A51" s="3" t="s">
        <v>299</v>
      </c>
      <c r="B51" s="8">
        <v>1</v>
      </c>
    </row>
    <row r="52" spans="1:2" x14ac:dyDescent="0.2">
      <c r="A52" s="3" t="s">
        <v>284</v>
      </c>
      <c r="B52" s="8">
        <v>1</v>
      </c>
    </row>
    <row r="53" spans="1:2" x14ac:dyDescent="0.2">
      <c r="A53" s="3" t="s">
        <v>181</v>
      </c>
      <c r="B53" s="8">
        <v>1</v>
      </c>
    </row>
    <row r="54" spans="1:2" x14ac:dyDescent="0.2">
      <c r="A54" s="3" t="s">
        <v>493</v>
      </c>
      <c r="B54" s="8">
        <v>1</v>
      </c>
    </row>
    <row r="55" spans="1:2" x14ac:dyDescent="0.2">
      <c r="A55" s="3" t="s">
        <v>521</v>
      </c>
      <c r="B55" s="8">
        <v>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3BFE2-2968-4EE2-865A-E2E0CB3DBC31}">
  <dimension ref="A3:O44"/>
  <sheetViews>
    <sheetView workbookViewId="0">
      <selection activeCell="N17" sqref="N17"/>
    </sheetView>
  </sheetViews>
  <sheetFormatPr baseColWidth="10" defaultColWidth="8.83203125" defaultRowHeight="15" x14ac:dyDescent="0.2"/>
  <cols>
    <col min="1" max="1" width="12.1640625" bestFit="1" customWidth="1"/>
    <col min="12" max="12" width="15" customWidth="1"/>
    <col min="13" max="13" width="22" customWidth="1"/>
    <col min="14" max="14" width="21.5" customWidth="1"/>
    <col min="15" max="15" width="20.83203125" customWidth="1"/>
  </cols>
  <sheetData>
    <row r="3" spans="1:15" x14ac:dyDescent="0.2">
      <c r="A3" s="2" t="s">
        <v>520</v>
      </c>
    </row>
    <row r="4" spans="1:15" x14ac:dyDescent="0.2">
      <c r="A4" s="3" t="s">
        <v>518</v>
      </c>
    </row>
    <row r="5" spans="1:15" x14ac:dyDescent="0.2">
      <c r="A5" s="3" t="s">
        <v>521</v>
      </c>
    </row>
    <row r="15" spans="1:15" x14ac:dyDescent="0.2">
      <c r="L15" s="5" t="s">
        <v>524</v>
      </c>
      <c r="M15" s="6" t="s">
        <v>529</v>
      </c>
      <c r="N15" s="6" t="s">
        <v>528</v>
      </c>
      <c r="O15" s="7" t="s">
        <v>530</v>
      </c>
    </row>
    <row r="16" spans="1:15" x14ac:dyDescent="0.2">
      <c r="L16" t="str">
        <f>A4</f>
        <v>IPL-2026</v>
      </c>
      <c r="M16" t="str">
        <f>IFERROR(VLOOKUP(L16,Table2[],2,0),"Not Decided")</f>
        <v>Not Decided</v>
      </c>
      <c r="N16" t="str">
        <f>IFERROR(VLOOKUP(L16,Table2[],3,0),"Not decided")</f>
        <v>Not decided</v>
      </c>
      <c r="O16" t="str">
        <f>IFERROR(VLOOKUP(L16,Table2[],4,0),"Not Decided")</f>
        <v>Not Decided</v>
      </c>
    </row>
    <row r="26" spans="12:15" x14ac:dyDescent="0.2">
      <c r="L26" t="s">
        <v>524</v>
      </c>
      <c r="M26" t="s">
        <v>529</v>
      </c>
      <c r="N26" t="s">
        <v>528</v>
      </c>
      <c r="O26" t="s">
        <v>530</v>
      </c>
    </row>
    <row r="27" spans="12:15" x14ac:dyDescent="0.2">
      <c r="L27" t="s">
        <v>500</v>
      </c>
      <c r="M27" t="s">
        <v>14</v>
      </c>
      <c r="N27" t="s">
        <v>15</v>
      </c>
      <c r="O27" t="s">
        <v>18</v>
      </c>
    </row>
    <row r="28" spans="12:15" x14ac:dyDescent="0.2">
      <c r="L28" t="s">
        <v>501</v>
      </c>
      <c r="M28" t="s">
        <v>19</v>
      </c>
      <c r="N28" t="s">
        <v>20</v>
      </c>
      <c r="O28" t="s">
        <v>23</v>
      </c>
    </row>
    <row r="29" spans="12:15" x14ac:dyDescent="0.2">
      <c r="L29" t="s">
        <v>502</v>
      </c>
      <c r="M29" t="s">
        <v>15</v>
      </c>
      <c r="N29" t="s">
        <v>24</v>
      </c>
      <c r="O29" t="s">
        <v>25</v>
      </c>
    </row>
    <row r="30" spans="12:15" x14ac:dyDescent="0.2">
      <c r="L30" t="s">
        <v>503</v>
      </c>
      <c r="M30" t="s">
        <v>15</v>
      </c>
      <c r="N30" t="s">
        <v>20</v>
      </c>
      <c r="O30" t="s">
        <v>27</v>
      </c>
    </row>
    <row r="31" spans="12:15" x14ac:dyDescent="0.2">
      <c r="L31" t="s">
        <v>504</v>
      </c>
      <c r="M31" t="s">
        <v>29</v>
      </c>
      <c r="N31" t="s">
        <v>15</v>
      </c>
      <c r="O31" t="s">
        <v>27</v>
      </c>
    </row>
    <row r="32" spans="12:15" x14ac:dyDescent="0.2">
      <c r="L32" t="s">
        <v>505</v>
      </c>
      <c r="M32" t="s">
        <v>24</v>
      </c>
      <c r="N32" t="s">
        <v>15</v>
      </c>
      <c r="O32" t="s">
        <v>18</v>
      </c>
    </row>
    <row r="33" spans="12:15" x14ac:dyDescent="0.2">
      <c r="L33" t="s">
        <v>506</v>
      </c>
      <c r="M33" t="s">
        <v>29</v>
      </c>
      <c r="N33" t="s">
        <v>33</v>
      </c>
      <c r="O33" t="s">
        <v>36</v>
      </c>
    </row>
    <row r="34" spans="12:15" x14ac:dyDescent="0.2">
      <c r="L34" t="s">
        <v>507</v>
      </c>
      <c r="M34" t="s">
        <v>24</v>
      </c>
      <c r="N34" t="s">
        <v>15</v>
      </c>
      <c r="O34" t="s">
        <v>38</v>
      </c>
    </row>
    <row r="35" spans="12:15" x14ac:dyDescent="0.2">
      <c r="L35" t="s">
        <v>508</v>
      </c>
      <c r="M35" t="s">
        <v>39</v>
      </c>
      <c r="N35" t="s">
        <v>20</v>
      </c>
      <c r="O35" t="s">
        <v>40</v>
      </c>
    </row>
    <row r="36" spans="12:15" x14ac:dyDescent="0.2">
      <c r="L36" t="s">
        <v>509</v>
      </c>
      <c r="M36" t="s">
        <v>24</v>
      </c>
      <c r="N36" t="s">
        <v>42</v>
      </c>
      <c r="O36" t="s">
        <v>43</v>
      </c>
    </row>
    <row r="37" spans="12:15" x14ac:dyDescent="0.2">
      <c r="L37" t="s">
        <v>510</v>
      </c>
      <c r="M37" t="s">
        <v>15</v>
      </c>
      <c r="N37" t="s">
        <v>39</v>
      </c>
      <c r="O37" t="s">
        <v>46</v>
      </c>
    </row>
    <row r="38" spans="12:15" x14ac:dyDescent="0.2">
      <c r="L38" t="s">
        <v>511</v>
      </c>
      <c r="M38" t="s">
        <v>24</v>
      </c>
      <c r="N38" t="s">
        <v>15</v>
      </c>
      <c r="O38" t="s">
        <v>48</v>
      </c>
    </row>
    <row r="39" spans="12:15" x14ac:dyDescent="0.2">
      <c r="L39" t="s">
        <v>512</v>
      </c>
      <c r="M39" t="s">
        <v>24</v>
      </c>
      <c r="N39" t="s">
        <v>49</v>
      </c>
      <c r="O39" t="s">
        <v>52</v>
      </c>
    </row>
    <row r="40" spans="12:15" x14ac:dyDescent="0.2">
      <c r="L40" t="s">
        <v>513</v>
      </c>
      <c r="M40" t="s">
        <v>15</v>
      </c>
      <c r="N40" t="s">
        <v>29</v>
      </c>
      <c r="O40" t="s">
        <v>54</v>
      </c>
    </row>
    <row r="41" spans="12:15" x14ac:dyDescent="0.2">
      <c r="L41" t="s">
        <v>514</v>
      </c>
      <c r="M41" t="s">
        <v>55</v>
      </c>
      <c r="N41" t="s">
        <v>14</v>
      </c>
      <c r="O41" t="s">
        <v>58</v>
      </c>
    </row>
    <row r="42" spans="12:15" x14ac:dyDescent="0.2">
      <c r="L42" t="s">
        <v>515</v>
      </c>
      <c r="M42" t="s">
        <v>15</v>
      </c>
      <c r="N42" t="s">
        <v>55</v>
      </c>
      <c r="O42" t="s">
        <v>59</v>
      </c>
    </row>
    <row r="43" spans="12:15" x14ac:dyDescent="0.2">
      <c r="L43" t="s">
        <v>516</v>
      </c>
      <c r="M43" t="s">
        <v>29</v>
      </c>
      <c r="N43" t="s">
        <v>39</v>
      </c>
      <c r="O43" t="s">
        <v>46</v>
      </c>
    </row>
    <row r="44" spans="12:15" x14ac:dyDescent="0.2">
      <c r="L44" t="s">
        <v>517</v>
      </c>
      <c r="M44" t="s">
        <v>61</v>
      </c>
      <c r="N44" t="s">
        <v>62</v>
      </c>
      <c r="O44" t="s">
        <v>65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F0BA-E449-4919-B5BF-CD2DFE25D0D2}">
  <dimension ref="A1:N1170"/>
  <sheetViews>
    <sheetView workbookViewId="0">
      <selection activeCell="C2" sqref="C2"/>
    </sheetView>
  </sheetViews>
  <sheetFormatPr baseColWidth="10" defaultColWidth="8.83203125" defaultRowHeight="15" x14ac:dyDescent="0.2"/>
  <cols>
    <col min="1" max="1" width="15.83203125" bestFit="1" customWidth="1"/>
    <col min="2" max="2" width="14.6640625" customWidth="1"/>
    <col min="3" max="3" width="10.6640625" bestFit="1" customWidth="1"/>
    <col min="4" max="4" width="13.1640625" bestFit="1" customWidth="1"/>
    <col min="5" max="5" width="24" bestFit="1" customWidth="1"/>
    <col min="6" max="6" width="14.5" bestFit="1" customWidth="1"/>
    <col min="7" max="7" width="27.1640625" customWidth="1"/>
    <col min="8" max="9" width="24" bestFit="1" customWidth="1"/>
    <col min="10" max="10" width="17.6640625" bestFit="1" customWidth="1"/>
    <col min="11" max="11" width="14.33203125" bestFit="1" customWidth="1"/>
    <col min="12" max="12" width="80.83203125" bestFit="1" customWidth="1"/>
    <col min="13" max="13" width="42.1640625" customWidth="1"/>
    <col min="14" max="14" width="19.1640625" customWidth="1"/>
  </cols>
  <sheetData>
    <row r="1" spans="1:14" x14ac:dyDescent="0.2">
      <c r="A1" t="s">
        <v>66</v>
      </c>
      <c r="B1" t="s">
        <v>499</v>
      </c>
      <c r="C1" t="s">
        <v>524</v>
      </c>
      <c r="D1" t="s">
        <v>69</v>
      </c>
      <c r="E1" t="s">
        <v>67</v>
      </c>
      <c r="F1" t="s">
        <v>68</v>
      </c>
      <c r="G1" t="s">
        <v>498</v>
      </c>
      <c r="H1" t="s">
        <v>70</v>
      </c>
      <c r="I1" t="s">
        <v>71</v>
      </c>
      <c r="J1" t="s">
        <v>72</v>
      </c>
      <c r="K1" t="s">
        <v>73</v>
      </c>
      <c r="L1" t="s">
        <v>519</v>
      </c>
      <c r="M1" t="s">
        <v>74</v>
      </c>
      <c r="N1" t="s">
        <v>75</v>
      </c>
    </row>
    <row r="2" spans="1:14" x14ac:dyDescent="0.2">
      <c r="A2">
        <v>335982</v>
      </c>
      <c r="B2">
        <f>YEAR(#REF!)</f>
        <v>2008</v>
      </c>
      <c r="C2" t="s">
        <v>500</v>
      </c>
      <c r="D2" s="1">
        <v>39556</v>
      </c>
      <c r="E2" t="s">
        <v>20</v>
      </c>
      <c r="F2" t="s">
        <v>29</v>
      </c>
      <c r="H2" t="s">
        <v>20</v>
      </c>
      <c r="I2" t="s">
        <v>89</v>
      </c>
      <c r="J2" t="s">
        <v>78</v>
      </c>
      <c r="K2" t="s">
        <v>29</v>
      </c>
      <c r="L2" t="s">
        <v>195</v>
      </c>
      <c r="M2" t="s">
        <v>196</v>
      </c>
      <c r="N2" t="s">
        <v>197</v>
      </c>
    </row>
    <row r="3" spans="1:14" x14ac:dyDescent="0.2">
      <c r="A3">
        <v>335983</v>
      </c>
      <c r="B3">
        <f>YEAR(#REF!)</f>
        <v>2008</v>
      </c>
      <c r="C3" t="s">
        <v>500</v>
      </c>
      <c r="D3" s="1">
        <v>39557</v>
      </c>
      <c r="E3" t="s">
        <v>33</v>
      </c>
      <c r="F3" t="s">
        <v>15</v>
      </c>
      <c r="H3" t="s">
        <v>15</v>
      </c>
      <c r="I3" t="s">
        <v>77</v>
      </c>
      <c r="J3" t="s">
        <v>78</v>
      </c>
      <c r="K3" t="s">
        <v>15</v>
      </c>
      <c r="L3" t="s">
        <v>142</v>
      </c>
      <c r="M3" t="s">
        <v>112</v>
      </c>
      <c r="N3" t="s">
        <v>95</v>
      </c>
    </row>
    <row r="4" spans="1:14" x14ac:dyDescent="0.2">
      <c r="A4">
        <v>335984</v>
      </c>
      <c r="B4">
        <f>YEAR(#REF!)</f>
        <v>2008</v>
      </c>
      <c r="C4" t="s">
        <v>500</v>
      </c>
      <c r="D4" s="1">
        <v>39557</v>
      </c>
      <c r="E4" t="s">
        <v>76</v>
      </c>
      <c r="F4" t="s">
        <v>14</v>
      </c>
      <c r="H4" t="s">
        <v>14</v>
      </c>
      <c r="I4" t="s">
        <v>77</v>
      </c>
      <c r="J4" t="s">
        <v>78</v>
      </c>
      <c r="K4" t="s">
        <v>76</v>
      </c>
      <c r="L4" t="s">
        <v>282</v>
      </c>
      <c r="M4" t="s">
        <v>87</v>
      </c>
      <c r="N4" t="s">
        <v>88</v>
      </c>
    </row>
    <row r="5" spans="1:14" x14ac:dyDescent="0.2">
      <c r="A5">
        <v>335986</v>
      </c>
      <c r="B5">
        <f>YEAR(#REF!)</f>
        <v>2008</v>
      </c>
      <c r="C5" t="s">
        <v>500</v>
      </c>
      <c r="D5" s="1">
        <v>39558</v>
      </c>
      <c r="E5" t="s">
        <v>29</v>
      </c>
      <c r="F5" t="s">
        <v>19</v>
      </c>
      <c r="H5" t="s">
        <v>19</v>
      </c>
      <c r="I5" t="s">
        <v>77</v>
      </c>
      <c r="J5" t="s">
        <v>78</v>
      </c>
      <c r="K5" t="s">
        <v>29</v>
      </c>
      <c r="L5" t="s">
        <v>394</v>
      </c>
      <c r="M5" t="s">
        <v>134</v>
      </c>
      <c r="N5" t="s">
        <v>135</v>
      </c>
    </row>
    <row r="6" spans="1:14" x14ac:dyDescent="0.2">
      <c r="A6">
        <v>335985</v>
      </c>
      <c r="B6">
        <f>YEAR(#REF!)</f>
        <v>2008</v>
      </c>
      <c r="C6" t="s">
        <v>500</v>
      </c>
      <c r="D6" s="1">
        <v>39558</v>
      </c>
      <c r="E6" t="s">
        <v>24</v>
      </c>
      <c r="F6" t="s">
        <v>20</v>
      </c>
      <c r="H6" t="s">
        <v>24</v>
      </c>
      <c r="I6" t="s">
        <v>77</v>
      </c>
      <c r="J6" t="s">
        <v>78</v>
      </c>
      <c r="K6" t="s">
        <v>20</v>
      </c>
      <c r="L6" t="s">
        <v>223</v>
      </c>
      <c r="M6" t="s">
        <v>97</v>
      </c>
      <c r="N6" t="s">
        <v>92</v>
      </c>
    </row>
    <row r="7" spans="1:14" x14ac:dyDescent="0.2">
      <c r="A7">
        <v>335987</v>
      </c>
      <c r="B7">
        <f>YEAR(#REF!)</f>
        <v>2008</v>
      </c>
      <c r="C7" t="s">
        <v>500</v>
      </c>
      <c r="D7" s="1">
        <v>39559</v>
      </c>
      <c r="E7" t="s">
        <v>14</v>
      </c>
      <c r="F7" t="s">
        <v>33</v>
      </c>
      <c r="H7" t="s">
        <v>33</v>
      </c>
      <c r="I7" t="s">
        <v>77</v>
      </c>
      <c r="J7" t="s">
        <v>78</v>
      </c>
      <c r="K7" t="s">
        <v>14</v>
      </c>
      <c r="L7" t="s">
        <v>166</v>
      </c>
      <c r="M7" t="s">
        <v>153</v>
      </c>
      <c r="N7" t="s">
        <v>85</v>
      </c>
    </row>
    <row r="8" spans="1:14" x14ac:dyDescent="0.2">
      <c r="A8">
        <v>335988</v>
      </c>
      <c r="B8">
        <f>YEAR(#REF!)</f>
        <v>2008</v>
      </c>
      <c r="C8" t="s">
        <v>500</v>
      </c>
      <c r="D8" s="1">
        <v>39560</v>
      </c>
      <c r="E8" t="s">
        <v>19</v>
      </c>
      <c r="F8" t="s">
        <v>76</v>
      </c>
      <c r="H8" t="s">
        <v>19</v>
      </c>
      <c r="I8" t="s">
        <v>77</v>
      </c>
      <c r="J8" t="s">
        <v>78</v>
      </c>
      <c r="K8" t="s">
        <v>76</v>
      </c>
      <c r="L8" t="s">
        <v>319</v>
      </c>
      <c r="M8" t="s">
        <v>164</v>
      </c>
      <c r="N8" t="s">
        <v>145</v>
      </c>
    </row>
    <row r="9" spans="1:14" x14ac:dyDescent="0.2">
      <c r="A9">
        <v>335989</v>
      </c>
      <c r="B9">
        <f>YEAR(#REF!)</f>
        <v>2008</v>
      </c>
      <c r="C9" t="s">
        <v>500</v>
      </c>
      <c r="D9" s="1">
        <v>39561</v>
      </c>
      <c r="E9" t="s">
        <v>15</v>
      </c>
      <c r="F9" t="s">
        <v>24</v>
      </c>
      <c r="H9" t="s">
        <v>24</v>
      </c>
      <c r="I9" t="s">
        <v>89</v>
      </c>
      <c r="J9" t="s">
        <v>78</v>
      </c>
      <c r="K9" t="s">
        <v>15</v>
      </c>
      <c r="L9" t="s">
        <v>86</v>
      </c>
      <c r="M9" t="s">
        <v>120</v>
      </c>
      <c r="N9" t="s">
        <v>107</v>
      </c>
    </row>
    <row r="10" spans="1:14" x14ac:dyDescent="0.2">
      <c r="A10">
        <v>335990</v>
      </c>
      <c r="B10">
        <f>YEAR(#REF!)</f>
        <v>2008</v>
      </c>
      <c r="C10" t="s">
        <v>500</v>
      </c>
      <c r="D10" s="1">
        <v>39562</v>
      </c>
      <c r="E10" t="s">
        <v>19</v>
      </c>
      <c r="F10" t="s">
        <v>14</v>
      </c>
      <c r="H10" t="s">
        <v>14</v>
      </c>
      <c r="I10" t="s">
        <v>89</v>
      </c>
      <c r="J10" t="s">
        <v>78</v>
      </c>
      <c r="K10" t="s">
        <v>14</v>
      </c>
      <c r="L10" t="s">
        <v>199</v>
      </c>
      <c r="M10" t="s">
        <v>164</v>
      </c>
      <c r="N10" t="s">
        <v>145</v>
      </c>
    </row>
    <row r="11" spans="1:14" x14ac:dyDescent="0.2">
      <c r="A11">
        <v>335991</v>
      </c>
      <c r="B11">
        <f>YEAR(#REF!)</f>
        <v>2008</v>
      </c>
      <c r="C11" t="s">
        <v>500</v>
      </c>
      <c r="D11" s="1">
        <v>39563</v>
      </c>
      <c r="E11" t="s">
        <v>33</v>
      </c>
      <c r="F11" t="s">
        <v>24</v>
      </c>
      <c r="H11" t="s">
        <v>24</v>
      </c>
      <c r="I11" t="s">
        <v>89</v>
      </c>
      <c r="J11" t="s">
        <v>78</v>
      </c>
      <c r="K11" t="s">
        <v>33</v>
      </c>
      <c r="L11" t="s">
        <v>208</v>
      </c>
      <c r="M11" t="s">
        <v>112</v>
      </c>
      <c r="N11" t="s">
        <v>95</v>
      </c>
    </row>
    <row r="12" spans="1:14" x14ac:dyDescent="0.2">
      <c r="A12">
        <v>335993</v>
      </c>
      <c r="B12">
        <f>YEAR(#REF!)</f>
        <v>2008</v>
      </c>
      <c r="C12" t="s">
        <v>500</v>
      </c>
      <c r="D12" s="1">
        <v>39564</v>
      </c>
      <c r="E12" t="s">
        <v>15</v>
      </c>
      <c r="F12" t="s">
        <v>29</v>
      </c>
      <c r="H12" t="s">
        <v>29</v>
      </c>
      <c r="I12" t="s">
        <v>77</v>
      </c>
      <c r="J12" t="s">
        <v>78</v>
      </c>
      <c r="K12" t="s">
        <v>15</v>
      </c>
      <c r="L12" t="s">
        <v>432</v>
      </c>
      <c r="M12" t="s">
        <v>120</v>
      </c>
      <c r="N12" t="s">
        <v>107</v>
      </c>
    </row>
    <row r="13" spans="1:14" x14ac:dyDescent="0.2">
      <c r="A13">
        <v>335992</v>
      </c>
      <c r="B13">
        <f>YEAR(#REF!)</f>
        <v>2008</v>
      </c>
      <c r="C13" t="s">
        <v>500</v>
      </c>
      <c r="D13" s="1">
        <v>39564</v>
      </c>
      <c r="E13" t="s">
        <v>20</v>
      </c>
      <c r="F13" t="s">
        <v>14</v>
      </c>
      <c r="H13" t="s">
        <v>14</v>
      </c>
      <c r="I13" t="s">
        <v>89</v>
      </c>
      <c r="J13" t="s">
        <v>78</v>
      </c>
      <c r="K13" t="s">
        <v>14</v>
      </c>
      <c r="L13" t="s">
        <v>166</v>
      </c>
      <c r="M13" t="s">
        <v>196</v>
      </c>
      <c r="N13" t="s">
        <v>197</v>
      </c>
    </row>
    <row r="14" spans="1:14" x14ac:dyDescent="0.2">
      <c r="A14">
        <v>335995</v>
      </c>
      <c r="B14">
        <f>YEAR(#REF!)</f>
        <v>2008</v>
      </c>
      <c r="C14" t="s">
        <v>500</v>
      </c>
      <c r="D14" s="1">
        <v>39565</v>
      </c>
      <c r="E14" t="s">
        <v>33</v>
      </c>
      <c r="F14" t="s">
        <v>76</v>
      </c>
      <c r="H14" t="s">
        <v>76</v>
      </c>
      <c r="I14" t="s">
        <v>77</v>
      </c>
      <c r="J14" t="s">
        <v>78</v>
      </c>
      <c r="K14" t="s">
        <v>33</v>
      </c>
      <c r="L14" t="s">
        <v>373</v>
      </c>
      <c r="M14" t="s">
        <v>112</v>
      </c>
      <c r="N14" t="s">
        <v>95</v>
      </c>
    </row>
    <row r="15" spans="1:14" x14ac:dyDescent="0.2">
      <c r="A15">
        <v>335994</v>
      </c>
      <c r="B15">
        <f>YEAR(#REF!)</f>
        <v>2008</v>
      </c>
      <c r="C15" t="s">
        <v>500</v>
      </c>
      <c r="D15" s="1">
        <v>39565</v>
      </c>
      <c r="E15" t="s">
        <v>24</v>
      </c>
      <c r="F15" t="s">
        <v>19</v>
      </c>
      <c r="H15" t="s">
        <v>19</v>
      </c>
      <c r="I15" t="s">
        <v>89</v>
      </c>
      <c r="J15" t="s">
        <v>78</v>
      </c>
      <c r="K15" t="s">
        <v>19</v>
      </c>
      <c r="L15" t="s">
        <v>174</v>
      </c>
      <c r="M15" t="s">
        <v>273</v>
      </c>
      <c r="N15" t="s">
        <v>92</v>
      </c>
    </row>
    <row r="16" spans="1:14" x14ac:dyDescent="0.2">
      <c r="A16">
        <v>335996</v>
      </c>
      <c r="B16">
        <f>YEAR(#REF!)</f>
        <v>2008</v>
      </c>
      <c r="C16" t="s">
        <v>500</v>
      </c>
      <c r="D16" s="1">
        <v>39566</v>
      </c>
      <c r="E16" t="s">
        <v>20</v>
      </c>
      <c r="F16" t="s">
        <v>15</v>
      </c>
      <c r="H16" t="s">
        <v>15</v>
      </c>
      <c r="I16" t="s">
        <v>77</v>
      </c>
      <c r="J16" t="s">
        <v>78</v>
      </c>
      <c r="K16" t="s">
        <v>15</v>
      </c>
      <c r="L16" t="s">
        <v>119</v>
      </c>
      <c r="M16" t="s">
        <v>196</v>
      </c>
      <c r="N16" t="s">
        <v>197</v>
      </c>
    </row>
    <row r="17" spans="1:14" x14ac:dyDescent="0.2">
      <c r="A17">
        <v>335997</v>
      </c>
      <c r="B17">
        <f>YEAR(#REF!)</f>
        <v>2008</v>
      </c>
      <c r="C17" t="s">
        <v>500</v>
      </c>
      <c r="D17" s="1">
        <v>39567</v>
      </c>
      <c r="E17" t="s">
        <v>29</v>
      </c>
      <c r="F17" t="s">
        <v>24</v>
      </c>
      <c r="H17" t="s">
        <v>29</v>
      </c>
      <c r="I17" t="s">
        <v>77</v>
      </c>
      <c r="J17" t="s">
        <v>78</v>
      </c>
      <c r="K17" t="s">
        <v>24</v>
      </c>
      <c r="L17" t="s">
        <v>198</v>
      </c>
      <c r="M17" t="s">
        <v>134</v>
      </c>
      <c r="N17" t="s">
        <v>135</v>
      </c>
    </row>
    <row r="18" spans="1:14" x14ac:dyDescent="0.2">
      <c r="A18">
        <v>335998</v>
      </c>
      <c r="B18">
        <f>YEAR(#REF!)</f>
        <v>2008</v>
      </c>
      <c r="C18" t="s">
        <v>500</v>
      </c>
      <c r="D18" s="1">
        <v>39568</v>
      </c>
      <c r="E18" t="s">
        <v>76</v>
      </c>
      <c r="F18" t="s">
        <v>20</v>
      </c>
      <c r="H18" t="s">
        <v>20</v>
      </c>
      <c r="I18" t="s">
        <v>89</v>
      </c>
      <c r="J18" t="s">
        <v>78</v>
      </c>
      <c r="K18" t="s">
        <v>76</v>
      </c>
      <c r="L18" t="s">
        <v>211</v>
      </c>
      <c r="M18" t="s">
        <v>87</v>
      </c>
      <c r="N18" t="s">
        <v>88</v>
      </c>
    </row>
    <row r="19" spans="1:14" x14ac:dyDescent="0.2">
      <c r="A19">
        <v>335999</v>
      </c>
      <c r="B19">
        <f>YEAR(#REF!)</f>
        <v>2008</v>
      </c>
      <c r="C19" t="s">
        <v>500</v>
      </c>
      <c r="D19" s="1">
        <v>39569</v>
      </c>
      <c r="E19" t="s">
        <v>19</v>
      </c>
      <c r="F19" t="s">
        <v>33</v>
      </c>
      <c r="H19" t="s">
        <v>33</v>
      </c>
      <c r="I19" t="s">
        <v>89</v>
      </c>
      <c r="J19" t="s">
        <v>78</v>
      </c>
      <c r="K19" t="s">
        <v>33</v>
      </c>
      <c r="L19" t="s">
        <v>150</v>
      </c>
      <c r="M19" t="s">
        <v>164</v>
      </c>
      <c r="N19" t="s">
        <v>145</v>
      </c>
    </row>
    <row r="20" spans="1:14" x14ac:dyDescent="0.2">
      <c r="A20">
        <v>336000</v>
      </c>
      <c r="B20">
        <f>YEAR(#REF!)</f>
        <v>2008</v>
      </c>
      <c r="C20" t="s">
        <v>500</v>
      </c>
      <c r="D20" s="1">
        <v>39569</v>
      </c>
      <c r="E20" t="s">
        <v>14</v>
      </c>
      <c r="F20" t="s">
        <v>29</v>
      </c>
      <c r="H20" t="s">
        <v>14</v>
      </c>
      <c r="I20" t="s">
        <v>77</v>
      </c>
      <c r="J20" t="s">
        <v>78</v>
      </c>
      <c r="K20" t="s">
        <v>14</v>
      </c>
      <c r="L20" t="s">
        <v>484</v>
      </c>
      <c r="M20" t="s">
        <v>153</v>
      </c>
      <c r="N20" t="s">
        <v>85</v>
      </c>
    </row>
    <row r="21" spans="1:14" x14ac:dyDescent="0.2">
      <c r="A21">
        <v>336001</v>
      </c>
      <c r="B21">
        <f>YEAR(#REF!)</f>
        <v>2008</v>
      </c>
      <c r="C21" t="s">
        <v>500</v>
      </c>
      <c r="D21" s="1">
        <v>39570</v>
      </c>
      <c r="E21" t="s">
        <v>15</v>
      </c>
      <c r="F21" t="s">
        <v>76</v>
      </c>
      <c r="H21" t="s">
        <v>15</v>
      </c>
      <c r="I21" t="s">
        <v>77</v>
      </c>
      <c r="J21" t="s">
        <v>78</v>
      </c>
      <c r="K21" t="s">
        <v>76</v>
      </c>
      <c r="L21" t="s">
        <v>319</v>
      </c>
      <c r="M21" t="s">
        <v>120</v>
      </c>
      <c r="N21" t="s">
        <v>107</v>
      </c>
    </row>
    <row r="22" spans="1:14" x14ac:dyDescent="0.2">
      <c r="A22">
        <v>336034</v>
      </c>
      <c r="B22">
        <f>YEAR(#REF!)</f>
        <v>2008</v>
      </c>
      <c r="C22" t="s">
        <v>500</v>
      </c>
      <c r="D22" s="1">
        <v>39571</v>
      </c>
      <c r="E22" t="s">
        <v>20</v>
      </c>
      <c r="F22" t="s">
        <v>19</v>
      </c>
      <c r="H22" t="s">
        <v>19</v>
      </c>
      <c r="I22" t="s">
        <v>89</v>
      </c>
      <c r="J22" t="s">
        <v>78</v>
      </c>
      <c r="K22" t="s">
        <v>20</v>
      </c>
      <c r="L22" t="s">
        <v>288</v>
      </c>
      <c r="M22" t="s">
        <v>196</v>
      </c>
      <c r="N22" t="s">
        <v>197</v>
      </c>
    </row>
    <row r="23" spans="1:14" x14ac:dyDescent="0.2">
      <c r="A23">
        <v>336003</v>
      </c>
      <c r="B23">
        <f>YEAR(#REF!)</f>
        <v>2008</v>
      </c>
      <c r="C23" t="s">
        <v>500</v>
      </c>
      <c r="D23" s="1">
        <v>39571</v>
      </c>
      <c r="E23" t="s">
        <v>33</v>
      </c>
      <c r="F23" t="s">
        <v>29</v>
      </c>
      <c r="H23" t="s">
        <v>33</v>
      </c>
      <c r="I23" t="s">
        <v>77</v>
      </c>
      <c r="J23" t="s">
        <v>78</v>
      </c>
      <c r="K23" t="s">
        <v>33</v>
      </c>
      <c r="L23" t="s">
        <v>447</v>
      </c>
      <c r="M23" t="s">
        <v>112</v>
      </c>
      <c r="N23" t="s">
        <v>95</v>
      </c>
    </row>
    <row r="24" spans="1:14" x14ac:dyDescent="0.2">
      <c r="A24">
        <v>336004</v>
      </c>
      <c r="B24">
        <f>YEAR(#REF!)</f>
        <v>2008</v>
      </c>
      <c r="C24" t="s">
        <v>500</v>
      </c>
      <c r="D24" s="1">
        <v>39572</v>
      </c>
      <c r="E24" t="s">
        <v>24</v>
      </c>
      <c r="F24" t="s">
        <v>76</v>
      </c>
      <c r="H24" t="s">
        <v>76</v>
      </c>
      <c r="I24" t="s">
        <v>89</v>
      </c>
      <c r="J24" t="s">
        <v>78</v>
      </c>
      <c r="K24" t="s">
        <v>24</v>
      </c>
      <c r="L24" t="s">
        <v>338</v>
      </c>
      <c r="M24" t="s">
        <v>273</v>
      </c>
      <c r="N24" t="s">
        <v>92</v>
      </c>
    </row>
    <row r="25" spans="1:14" x14ac:dyDescent="0.2">
      <c r="A25">
        <v>336005</v>
      </c>
      <c r="B25">
        <f>YEAR(#REF!)</f>
        <v>2008</v>
      </c>
      <c r="C25" t="s">
        <v>500</v>
      </c>
      <c r="D25" s="1">
        <v>39572</v>
      </c>
      <c r="E25" t="s">
        <v>14</v>
      </c>
      <c r="F25" t="s">
        <v>15</v>
      </c>
      <c r="H25" t="s">
        <v>15</v>
      </c>
      <c r="I25" t="s">
        <v>77</v>
      </c>
      <c r="J25" t="s">
        <v>78</v>
      </c>
      <c r="K25" t="s">
        <v>14</v>
      </c>
      <c r="L25" t="s">
        <v>17</v>
      </c>
      <c r="M25" t="s">
        <v>153</v>
      </c>
      <c r="N25" t="s">
        <v>85</v>
      </c>
    </row>
    <row r="26" spans="1:14" x14ac:dyDescent="0.2">
      <c r="A26">
        <v>336006</v>
      </c>
      <c r="B26">
        <f>YEAR(#REF!)</f>
        <v>2008</v>
      </c>
      <c r="C26" t="s">
        <v>500</v>
      </c>
      <c r="D26" s="1">
        <v>39573</v>
      </c>
      <c r="E26" t="s">
        <v>20</v>
      </c>
      <c r="F26" t="s">
        <v>33</v>
      </c>
      <c r="H26" t="s">
        <v>33</v>
      </c>
      <c r="I26" t="s">
        <v>89</v>
      </c>
      <c r="J26" t="s">
        <v>78</v>
      </c>
      <c r="K26" t="s">
        <v>33</v>
      </c>
      <c r="L26" t="s">
        <v>467</v>
      </c>
      <c r="M26" t="s">
        <v>196</v>
      </c>
      <c r="N26" t="s">
        <v>197</v>
      </c>
    </row>
    <row r="27" spans="1:14" x14ac:dyDescent="0.2">
      <c r="A27">
        <v>336007</v>
      </c>
      <c r="B27">
        <f>YEAR(#REF!)</f>
        <v>2008</v>
      </c>
      <c r="C27" t="s">
        <v>500</v>
      </c>
      <c r="D27" s="1">
        <v>39574</v>
      </c>
      <c r="E27" t="s">
        <v>15</v>
      </c>
      <c r="F27" t="s">
        <v>19</v>
      </c>
      <c r="H27" t="s">
        <v>19</v>
      </c>
      <c r="I27" t="s">
        <v>89</v>
      </c>
      <c r="J27" t="s">
        <v>78</v>
      </c>
      <c r="K27" t="s">
        <v>19</v>
      </c>
      <c r="L27" t="s">
        <v>174</v>
      </c>
      <c r="M27" t="s">
        <v>120</v>
      </c>
      <c r="N27" t="s">
        <v>107</v>
      </c>
    </row>
    <row r="28" spans="1:14" x14ac:dyDescent="0.2">
      <c r="A28">
        <v>336008</v>
      </c>
      <c r="B28">
        <f>YEAR(#REF!)</f>
        <v>2008</v>
      </c>
      <c r="C28" t="s">
        <v>500</v>
      </c>
      <c r="D28" s="1">
        <v>39575</v>
      </c>
      <c r="E28" t="s">
        <v>24</v>
      </c>
      <c r="F28" t="s">
        <v>14</v>
      </c>
      <c r="H28" t="s">
        <v>24</v>
      </c>
      <c r="I28" t="s">
        <v>89</v>
      </c>
      <c r="J28" t="s">
        <v>78</v>
      </c>
      <c r="K28" t="s">
        <v>24</v>
      </c>
      <c r="L28" t="s">
        <v>114</v>
      </c>
      <c r="M28" t="s">
        <v>273</v>
      </c>
      <c r="N28" t="s">
        <v>92</v>
      </c>
    </row>
    <row r="29" spans="1:14" x14ac:dyDescent="0.2">
      <c r="A29">
        <v>336010</v>
      </c>
      <c r="B29">
        <f>YEAR(#REF!)</f>
        <v>2008</v>
      </c>
      <c r="C29" t="s">
        <v>500</v>
      </c>
      <c r="D29" s="1">
        <v>39576</v>
      </c>
      <c r="E29" t="s">
        <v>29</v>
      </c>
      <c r="F29" t="s">
        <v>20</v>
      </c>
      <c r="H29" t="s">
        <v>29</v>
      </c>
      <c r="I29" t="s">
        <v>77</v>
      </c>
      <c r="J29" t="s">
        <v>78</v>
      </c>
      <c r="K29" t="s">
        <v>29</v>
      </c>
      <c r="L29" t="s">
        <v>311</v>
      </c>
      <c r="M29" t="s">
        <v>134</v>
      </c>
      <c r="N29" t="s">
        <v>135</v>
      </c>
    </row>
    <row r="30" spans="1:14" x14ac:dyDescent="0.2">
      <c r="A30">
        <v>336009</v>
      </c>
      <c r="B30">
        <f>YEAR(#REF!)</f>
        <v>2008</v>
      </c>
      <c r="C30" t="s">
        <v>500</v>
      </c>
      <c r="D30" s="1">
        <v>39576</v>
      </c>
      <c r="E30" t="s">
        <v>76</v>
      </c>
      <c r="F30" t="s">
        <v>15</v>
      </c>
      <c r="H30" t="s">
        <v>15</v>
      </c>
      <c r="I30" t="s">
        <v>89</v>
      </c>
      <c r="J30" t="s">
        <v>78</v>
      </c>
      <c r="K30" t="s">
        <v>15</v>
      </c>
      <c r="L30" t="s">
        <v>119</v>
      </c>
      <c r="M30" t="s">
        <v>87</v>
      </c>
      <c r="N30" t="s">
        <v>88</v>
      </c>
    </row>
    <row r="31" spans="1:14" x14ac:dyDescent="0.2">
      <c r="A31">
        <v>336011</v>
      </c>
      <c r="B31">
        <f>YEAR(#REF!)</f>
        <v>2008</v>
      </c>
      <c r="C31" t="s">
        <v>500</v>
      </c>
      <c r="D31" s="1">
        <v>39577</v>
      </c>
      <c r="E31" t="s">
        <v>14</v>
      </c>
      <c r="F31" t="s">
        <v>19</v>
      </c>
      <c r="H31" t="s">
        <v>14</v>
      </c>
      <c r="I31" t="s">
        <v>89</v>
      </c>
      <c r="J31" t="s">
        <v>78</v>
      </c>
      <c r="K31" t="s">
        <v>14</v>
      </c>
      <c r="L31" t="s">
        <v>199</v>
      </c>
      <c r="M31" t="s">
        <v>153</v>
      </c>
      <c r="N31" t="s">
        <v>85</v>
      </c>
    </row>
    <row r="32" spans="1:14" x14ac:dyDescent="0.2">
      <c r="A32">
        <v>336013</v>
      </c>
      <c r="B32">
        <f>YEAR(#REF!)</f>
        <v>2008</v>
      </c>
      <c r="C32" t="s">
        <v>500</v>
      </c>
      <c r="D32" s="1">
        <v>39578</v>
      </c>
      <c r="E32" t="s">
        <v>15</v>
      </c>
      <c r="F32" t="s">
        <v>33</v>
      </c>
      <c r="H32" t="s">
        <v>33</v>
      </c>
      <c r="I32" t="s">
        <v>89</v>
      </c>
      <c r="J32" t="s">
        <v>78</v>
      </c>
      <c r="K32" t="s">
        <v>15</v>
      </c>
      <c r="L32" t="s">
        <v>448</v>
      </c>
      <c r="M32" t="s">
        <v>120</v>
      </c>
      <c r="N32" t="s">
        <v>107</v>
      </c>
    </row>
    <row r="33" spans="1:14" x14ac:dyDescent="0.2">
      <c r="A33">
        <v>336015</v>
      </c>
      <c r="B33">
        <f>YEAR(#REF!)</f>
        <v>2008</v>
      </c>
      <c r="C33" t="s">
        <v>500</v>
      </c>
      <c r="D33" s="1">
        <v>39579</v>
      </c>
      <c r="E33" t="s">
        <v>14</v>
      </c>
      <c r="F33" t="s">
        <v>76</v>
      </c>
      <c r="H33" t="s">
        <v>14</v>
      </c>
      <c r="I33" t="s">
        <v>89</v>
      </c>
      <c r="J33" t="s">
        <v>78</v>
      </c>
      <c r="K33" t="s">
        <v>14</v>
      </c>
      <c r="L33" t="s">
        <v>166</v>
      </c>
      <c r="M33" t="s">
        <v>153</v>
      </c>
      <c r="N33" t="s">
        <v>85</v>
      </c>
    </row>
    <row r="34" spans="1:14" x14ac:dyDescent="0.2">
      <c r="A34">
        <v>336014</v>
      </c>
      <c r="B34">
        <f>YEAR(#REF!)</f>
        <v>2008</v>
      </c>
      <c r="C34" t="s">
        <v>500</v>
      </c>
      <c r="D34" s="1">
        <v>39579</v>
      </c>
      <c r="E34" t="s">
        <v>19</v>
      </c>
      <c r="F34" t="s">
        <v>29</v>
      </c>
      <c r="H34" t="s">
        <v>29</v>
      </c>
      <c r="I34" t="s">
        <v>77</v>
      </c>
      <c r="J34" t="s">
        <v>78</v>
      </c>
      <c r="K34" t="s">
        <v>29</v>
      </c>
      <c r="L34" t="s">
        <v>311</v>
      </c>
      <c r="M34" t="s">
        <v>164</v>
      </c>
      <c r="N34" t="s">
        <v>145</v>
      </c>
    </row>
    <row r="35" spans="1:14" x14ac:dyDescent="0.2">
      <c r="A35">
        <v>336016</v>
      </c>
      <c r="B35">
        <f>YEAR(#REF!)</f>
        <v>2008</v>
      </c>
      <c r="C35" t="s">
        <v>500</v>
      </c>
      <c r="D35" s="1">
        <v>39580</v>
      </c>
      <c r="E35" t="s">
        <v>33</v>
      </c>
      <c r="F35" t="s">
        <v>20</v>
      </c>
      <c r="H35" t="s">
        <v>20</v>
      </c>
      <c r="I35" t="s">
        <v>77</v>
      </c>
      <c r="J35" t="s">
        <v>78</v>
      </c>
      <c r="K35" t="s">
        <v>33</v>
      </c>
      <c r="L35" t="s">
        <v>150</v>
      </c>
      <c r="M35" t="s">
        <v>112</v>
      </c>
      <c r="N35" t="s">
        <v>95</v>
      </c>
    </row>
    <row r="36" spans="1:14" x14ac:dyDescent="0.2">
      <c r="A36">
        <v>336017</v>
      </c>
      <c r="B36">
        <f>YEAR(#REF!)</f>
        <v>2008</v>
      </c>
      <c r="C36" t="s">
        <v>500</v>
      </c>
      <c r="D36" s="1">
        <v>39581</v>
      </c>
      <c r="E36" t="s">
        <v>29</v>
      </c>
      <c r="F36" t="s">
        <v>76</v>
      </c>
      <c r="H36" t="s">
        <v>29</v>
      </c>
      <c r="I36" t="s">
        <v>77</v>
      </c>
      <c r="J36" t="s">
        <v>78</v>
      </c>
      <c r="K36" t="s">
        <v>29</v>
      </c>
      <c r="L36" t="s">
        <v>322</v>
      </c>
      <c r="M36" t="s">
        <v>134</v>
      </c>
      <c r="N36" t="s">
        <v>135</v>
      </c>
    </row>
    <row r="37" spans="1:14" x14ac:dyDescent="0.2">
      <c r="A37">
        <v>336018</v>
      </c>
      <c r="B37">
        <f>YEAR(#REF!)</f>
        <v>2008</v>
      </c>
      <c r="C37" t="s">
        <v>500</v>
      </c>
      <c r="D37" s="1">
        <v>39582</v>
      </c>
      <c r="E37" t="s">
        <v>24</v>
      </c>
      <c r="F37" t="s">
        <v>15</v>
      </c>
      <c r="H37" t="s">
        <v>24</v>
      </c>
      <c r="I37" t="s">
        <v>89</v>
      </c>
      <c r="J37" t="s">
        <v>78</v>
      </c>
      <c r="K37" t="s">
        <v>24</v>
      </c>
      <c r="L37" t="s">
        <v>198</v>
      </c>
      <c r="M37" t="s">
        <v>97</v>
      </c>
      <c r="N37" t="s">
        <v>92</v>
      </c>
    </row>
    <row r="38" spans="1:14" x14ac:dyDescent="0.2">
      <c r="A38">
        <v>336020</v>
      </c>
      <c r="B38">
        <f>YEAR(#REF!)</f>
        <v>2008</v>
      </c>
      <c r="C38" t="s">
        <v>500</v>
      </c>
      <c r="D38" s="1">
        <v>39583</v>
      </c>
      <c r="E38" t="s">
        <v>76</v>
      </c>
      <c r="F38" t="s">
        <v>19</v>
      </c>
      <c r="H38" t="s">
        <v>19</v>
      </c>
      <c r="I38" t="s">
        <v>89</v>
      </c>
      <c r="J38" t="s">
        <v>78</v>
      </c>
      <c r="K38" t="s">
        <v>76</v>
      </c>
      <c r="L38" t="s">
        <v>151</v>
      </c>
      <c r="M38" t="s">
        <v>87</v>
      </c>
      <c r="N38" t="s">
        <v>88</v>
      </c>
    </row>
    <row r="39" spans="1:14" x14ac:dyDescent="0.2">
      <c r="A39">
        <v>336021</v>
      </c>
      <c r="B39">
        <f>YEAR(#REF!)</f>
        <v>2008</v>
      </c>
      <c r="C39" t="s">
        <v>500</v>
      </c>
      <c r="D39" s="1">
        <v>39584</v>
      </c>
      <c r="E39" t="s">
        <v>24</v>
      </c>
      <c r="F39" t="s">
        <v>29</v>
      </c>
      <c r="H39" t="s">
        <v>24</v>
      </c>
      <c r="I39" t="s">
        <v>89</v>
      </c>
      <c r="J39" t="s">
        <v>78</v>
      </c>
      <c r="K39" t="s">
        <v>24</v>
      </c>
      <c r="L39" t="s">
        <v>338</v>
      </c>
      <c r="M39" t="s">
        <v>97</v>
      </c>
      <c r="N39" t="s">
        <v>92</v>
      </c>
    </row>
    <row r="40" spans="1:14" x14ac:dyDescent="0.2">
      <c r="A40">
        <v>336022</v>
      </c>
      <c r="B40">
        <f>YEAR(#REF!)</f>
        <v>2008</v>
      </c>
      <c r="C40" t="s">
        <v>500</v>
      </c>
      <c r="D40" s="1">
        <v>39585</v>
      </c>
      <c r="E40" t="s">
        <v>76</v>
      </c>
      <c r="F40" t="s">
        <v>33</v>
      </c>
      <c r="H40" t="s">
        <v>76</v>
      </c>
      <c r="I40" t="s">
        <v>77</v>
      </c>
      <c r="J40" t="s">
        <v>78</v>
      </c>
      <c r="K40" t="s">
        <v>33</v>
      </c>
      <c r="L40" t="s">
        <v>202</v>
      </c>
      <c r="M40" t="s">
        <v>87</v>
      </c>
      <c r="N40" t="s">
        <v>88</v>
      </c>
    </row>
    <row r="41" spans="1:14" x14ac:dyDescent="0.2">
      <c r="A41">
        <v>336023</v>
      </c>
      <c r="B41">
        <f>YEAR(#REF!)</f>
        <v>2008</v>
      </c>
      <c r="C41" t="s">
        <v>500</v>
      </c>
      <c r="D41" s="1">
        <v>39585</v>
      </c>
      <c r="E41" t="s">
        <v>14</v>
      </c>
      <c r="F41" t="s">
        <v>20</v>
      </c>
      <c r="H41" t="s">
        <v>20</v>
      </c>
      <c r="I41" t="s">
        <v>89</v>
      </c>
      <c r="J41" t="s">
        <v>78</v>
      </c>
      <c r="K41" t="s">
        <v>14</v>
      </c>
      <c r="L41" t="s">
        <v>383</v>
      </c>
      <c r="M41" t="s">
        <v>153</v>
      </c>
      <c r="N41" t="s">
        <v>85</v>
      </c>
    </row>
    <row r="42" spans="1:14" x14ac:dyDescent="0.2">
      <c r="A42">
        <v>336025</v>
      </c>
      <c r="B42">
        <f>YEAR(#REF!)</f>
        <v>2008</v>
      </c>
      <c r="C42" t="s">
        <v>500</v>
      </c>
      <c r="D42" s="1">
        <v>39586</v>
      </c>
      <c r="E42" t="s">
        <v>29</v>
      </c>
      <c r="F42" t="s">
        <v>15</v>
      </c>
      <c r="H42" t="s">
        <v>29</v>
      </c>
      <c r="I42" t="s">
        <v>77</v>
      </c>
      <c r="J42" t="s">
        <v>78</v>
      </c>
      <c r="K42" t="s">
        <v>15</v>
      </c>
      <c r="L42" t="s">
        <v>173</v>
      </c>
      <c r="M42" t="s">
        <v>134</v>
      </c>
      <c r="N42" t="s">
        <v>135</v>
      </c>
    </row>
    <row r="43" spans="1:14" x14ac:dyDescent="0.2">
      <c r="A43">
        <v>336024</v>
      </c>
      <c r="B43">
        <f>YEAR(#REF!)</f>
        <v>2008</v>
      </c>
      <c r="C43" t="s">
        <v>500</v>
      </c>
      <c r="D43" s="1">
        <v>39586</v>
      </c>
      <c r="E43" t="s">
        <v>19</v>
      </c>
      <c r="F43" t="s">
        <v>24</v>
      </c>
      <c r="H43" t="s">
        <v>19</v>
      </c>
      <c r="I43" t="s">
        <v>89</v>
      </c>
      <c r="J43" t="s">
        <v>78</v>
      </c>
      <c r="K43" t="s">
        <v>24</v>
      </c>
      <c r="L43" t="s">
        <v>368</v>
      </c>
      <c r="M43" t="s">
        <v>164</v>
      </c>
      <c r="N43" t="s">
        <v>145</v>
      </c>
    </row>
    <row r="44" spans="1:14" x14ac:dyDescent="0.2">
      <c r="A44">
        <v>336026</v>
      </c>
      <c r="B44">
        <f>YEAR(#REF!)</f>
        <v>2008</v>
      </c>
      <c r="C44" t="s">
        <v>500</v>
      </c>
      <c r="D44" s="1">
        <v>39587</v>
      </c>
      <c r="E44" t="s">
        <v>20</v>
      </c>
      <c r="F44" t="s">
        <v>76</v>
      </c>
      <c r="H44" t="s">
        <v>76</v>
      </c>
      <c r="I44" t="s">
        <v>89</v>
      </c>
      <c r="J44" t="s">
        <v>78</v>
      </c>
      <c r="K44" t="s">
        <v>76</v>
      </c>
      <c r="L44" t="s">
        <v>411</v>
      </c>
      <c r="M44" t="s">
        <v>196</v>
      </c>
      <c r="N44" t="s">
        <v>197</v>
      </c>
    </row>
    <row r="45" spans="1:14" x14ac:dyDescent="0.2">
      <c r="A45">
        <v>336027</v>
      </c>
      <c r="B45">
        <f>YEAR(#REF!)</f>
        <v>2008</v>
      </c>
      <c r="C45" t="s">
        <v>500</v>
      </c>
      <c r="D45" s="1">
        <v>39588</v>
      </c>
      <c r="E45" t="s">
        <v>29</v>
      </c>
      <c r="F45" t="s">
        <v>14</v>
      </c>
      <c r="H45" t="s">
        <v>14</v>
      </c>
      <c r="I45" t="s">
        <v>89</v>
      </c>
      <c r="J45" t="s">
        <v>78</v>
      </c>
      <c r="K45" t="s">
        <v>14</v>
      </c>
      <c r="L45" t="s">
        <v>199</v>
      </c>
      <c r="M45" t="s">
        <v>134</v>
      </c>
      <c r="N45" t="s">
        <v>135</v>
      </c>
    </row>
    <row r="46" spans="1:14" x14ac:dyDescent="0.2">
      <c r="A46">
        <v>336029</v>
      </c>
      <c r="B46">
        <f>YEAR(#REF!)</f>
        <v>2008</v>
      </c>
      <c r="C46" t="s">
        <v>500</v>
      </c>
      <c r="D46" s="1">
        <v>39589</v>
      </c>
      <c r="E46" t="s">
        <v>15</v>
      </c>
      <c r="F46" t="s">
        <v>20</v>
      </c>
      <c r="H46" t="s">
        <v>20</v>
      </c>
      <c r="I46" t="s">
        <v>77</v>
      </c>
      <c r="J46" t="s">
        <v>78</v>
      </c>
      <c r="K46" t="s">
        <v>20</v>
      </c>
      <c r="L46" t="s">
        <v>341</v>
      </c>
      <c r="M46" t="s">
        <v>120</v>
      </c>
      <c r="N46" t="s">
        <v>107</v>
      </c>
    </row>
    <row r="47" spans="1:14" x14ac:dyDescent="0.2">
      <c r="A47">
        <v>336028</v>
      </c>
      <c r="B47">
        <f>YEAR(#REF!)</f>
        <v>2008</v>
      </c>
      <c r="C47" t="s">
        <v>500</v>
      </c>
      <c r="D47" s="1">
        <v>39589</v>
      </c>
      <c r="E47" t="s">
        <v>24</v>
      </c>
      <c r="F47" t="s">
        <v>33</v>
      </c>
      <c r="H47" t="s">
        <v>24</v>
      </c>
      <c r="I47" t="s">
        <v>89</v>
      </c>
      <c r="J47" t="s">
        <v>78</v>
      </c>
      <c r="K47" t="s">
        <v>33</v>
      </c>
      <c r="L47" t="s">
        <v>150</v>
      </c>
      <c r="M47" t="s">
        <v>97</v>
      </c>
      <c r="N47" t="s">
        <v>92</v>
      </c>
    </row>
    <row r="48" spans="1:14" x14ac:dyDescent="0.2">
      <c r="A48">
        <v>336031</v>
      </c>
      <c r="B48">
        <f>YEAR(#REF!)</f>
        <v>2008</v>
      </c>
      <c r="C48" t="s">
        <v>500</v>
      </c>
      <c r="D48" s="1">
        <v>39591</v>
      </c>
      <c r="E48" t="s">
        <v>33</v>
      </c>
      <c r="F48" t="s">
        <v>19</v>
      </c>
      <c r="H48" t="s">
        <v>33</v>
      </c>
      <c r="I48" t="s">
        <v>89</v>
      </c>
      <c r="J48" t="s">
        <v>78</v>
      </c>
      <c r="K48" t="s">
        <v>33</v>
      </c>
      <c r="L48" t="s">
        <v>150</v>
      </c>
      <c r="M48" t="s">
        <v>112</v>
      </c>
      <c r="N48" t="s">
        <v>95</v>
      </c>
    </row>
    <row r="49" spans="1:14" x14ac:dyDescent="0.2">
      <c r="A49">
        <v>336033</v>
      </c>
      <c r="B49">
        <f>YEAR(#REF!)</f>
        <v>2008</v>
      </c>
      <c r="C49" t="s">
        <v>500</v>
      </c>
      <c r="D49" s="1">
        <v>39592</v>
      </c>
      <c r="E49" t="s">
        <v>15</v>
      </c>
      <c r="F49" t="s">
        <v>14</v>
      </c>
      <c r="H49" t="s">
        <v>14</v>
      </c>
      <c r="I49" t="s">
        <v>77</v>
      </c>
      <c r="J49" t="s">
        <v>78</v>
      </c>
      <c r="K49" t="s">
        <v>14</v>
      </c>
      <c r="L49" t="s">
        <v>347</v>
      </c>
      <c r="M49" t="s">
        <v>120</v>
      </c>
      <c r="N49" t="s">
        <v>107</v>
      </c>
    </row>
    <row r="50" spans="1:14" x14ac:dyDescent="0.2">
      <c r="A50">
        <v>336032</v>
      </c>
      <c r="B50">
        <f>YEAR(#REF!)</f>
        <v>2008</v>
      </c>
      <c r="C50" t="s">
        <v>500</v>
      </c>
      <c r="D50" s="1">
        <v>39592</v>
      </c>
      <c r="E50" t="s">
        <v>76</v>
      </c>
      <c r="F50" t="s">
        <v>24</v>
      </c>
      <c r="H50" t="s">
        <v>76</v>
      </c>
      <c r="I50" t="s">
        <v>89</v>
      </c>
      <c r="J50" t="s">
        <v>78</v>
      </c>
      <c r="K50" t="s">
        <v>76</v>
      </c>
      <c r="L50" t="s">
        <v>102</v>
      </c>
      <c r="M50" t="s">
        <v>87</v>
      </c>
      <c r="N50" t="s">
        <v>88</v>
      </c>
    </row>
    <row r="51" spans="1:14" x14ac:dyDescent="0.2">
      <c r="A51">
        <v>336002</v>
      </c>
      <c r="B51">
        <f>YEAR(#REF!)</f>
        <v>2008</v>
      </c>
      <c r="C51" t="s">
        <v>500</v>
      </c>
      <c r="D51" s="1">
        <v>39593</v>
      </c>
      <c r="E51" t="s">
        <v>19</v>
      </c>
      <c r="F51" t="s">
        <v>20</v>
      </c>
      <c r="H51" t="s">
        <v>19</v>
      </c>
      <c r="I51" t="s">
        <v>77</v>
      </c>
      <c r="J51" t="s">
        <v>78</v>
      </c>
      <c r="K51" t="s">
        <v>20</v>
      </c>
      <c r="L51" t="s">
        <v>407</v>
      </c>
      <c r="M51" t="s">
        <v>164</v>
      </c>
      <c r="N51" t="s">
        <v>145</v>
      </c>
    </row>
    <row r="52" spans="1:14" x14ac:dyDescent="0.2">
      <c r="A52">
        <v>336035</v>
      </c>
      <c r="B52">
        <f>YEAR(#REF!)</f>
        <v>2008</v>
      </c>
      <c r="C52" t="s">
        <v>500</v>
      </c>
      <c r="D52" s="1">
        <v>39593</v>
      </c>
      <c r="E52" t="s">
        <v>29</v>
      </c>
      <c r="F52" t="s">
        <v>33</v>
      </c>
      <c r="H52" t="s">
        <v>33</v>
      </c>
      <c r="I52" t="s">
        <v>77</v>
      </c>
      <c r="J52" t="s">
        <v>78</v>
      </c>
      <c r="K52" t="s">
        <v>29</v>
      </c>
      <c r="L52" t="s">
        <v>476</v>
      </c>
      <c r="M52" t="s">
        <v>134</v>
      </c>
      <c r="N52" t="s">
        <v>135</v>
      </c>
    </row>
    <row r="53" spans="1:14" x14ac:dyDescent="0.2">
      <c r="A53">
        <v>336036</v>
      </c>
      <c r="B53">
        <f>YEAR(#REF!)</f>
        <v>2008</v>
      </c>
      <c r="C53" t="s">
        <v>500</v>
      </c>
      <c r="D53" s="1">
        <v>39594</v>
      </c>
      <c r="E53" t="s">
        <v>14</v>
      </c>
      <c r="F53" t="s">
        <v>24</v>
      </c>
      <c r="H53" t="s">
        <v>14</v>
      </c>
      <c r="I53" t="s">
        <v>89</v>
      </c>
      <c r="J53" t="s">
        <v>78</v>
      </c>
      <c r="K53" t="s">
        <v>14</v>
      </c>
      <c r="L53" t="s">
        <v>17</v>
      </c>
      <c r="M53" t="s">
        <v>153</v>
      </c>
      <c r="N53" t="s">
        <v>85</v>
      </c>
    </row>
    <row r="54" spans="1:14" x14ac:dyDescent="0.2">
      <c r="A54">
        <v>336037</v>
      </c>
      <c r="B54">
        <f>YEAR(#REF!)</f>
        <v>2008</v>
      </c>
      <c r="C54" t="s">
        <v>500</v>
      </c>
      <c r="D54" s="1">
        <v>39595</v>
      </c>
      <c r="E54" t="s">
        <v>19</v>
      </c>
      <c r="F54" t="s">
        <v>15</v>
      </c>
      <c r="H54" t="s">
        <v>19</v>
      </c>
      <c r="I54" t="s">
        <v>77</v>
      </c>
      <c r="J54" t="s">
        <v>78</v>
      </c>
      <c r="K54" t="s">
        <v>15</v>
      </c>
      <c r="L54" t="s">
        <v>259</v>
      </c>
      <c r="M54" t="s">
        <v>164</v>
      </c>
      <c r="N54" t="s">
        <v>145</v>
      </c>
    </row>
    <row r="55" spans="1:14" x14ac:dyDescent="0.2">
      <c r="A55">
        <v>336019</v>
      </c>
      <c r="B55">
        <f>YEAR(#REF!)</f>
        <v>2008</v>
      </c>
      <c r="C55" t="s">
        <v>500</v>
      </c>
      <c r="D55" s="1">
        <v>39596</v>
      </c>
      <c r="E55" t="s">
        <v>33</v>
      </c>
      <c r="F55" t="s">
        <v>14</v>
      </c>
      <c r="H55" t="s">
        <v>14</v>
      </c>
      <c r="I55" t="s">
        <v>89</v>
      </c>
      <c r="J55" t="s">
        <v>78</v>
      </c>
      <c r="K55" t="s">
        <v>33</v>
      </c>
      <c r="L55" t="s">
        <v>150</v>
      </c>
      <c r="M55" t="s">
        <v>112</v>
      </c>
      <c r="N55" t="s">
        <v>95</v>
      </c>
    </row>
    <row r="56" spans="1:14" x14ac:dyDescent="0.2">
      <c r="A56">
        <v>336012</v>
      </c>
      <c r="B56">
        <f>YEAR(#REF!)</f>
        <v>2008</v>
      </c>
      <c r="C56" t="s">
        <v>500</v>
      </c>
      <c r="D56" s="1">
        <v>39596</v>
      </c>
      <c r="E56" t="s">
        <v>20</v>
      </c>
      <c r="F56" t="s">
        <v>24</v>
      </c>
      <c r="H56" t="s">
        <v>24</v>
      </c>
      <c r="I56" t="s">
        <v>89</v>
      </c>
      <c r="J56" t="s">
        <v>78</v>
      </c>
      <c r="K56" t="s">
        <v>24</v>
      </c>
      <c r="L56" t="s">
        <v>450</v>
      </c>
      <c r="M56" t="s">
        <v>196</v>
      </c>
      <c r="N56" t="s">
        <v>197</v>
      </c>
    </row>
    <row r="57" spans="1:14" x14ac:dyDescent="0.2">
      <c r="A57">
        <v>336038</v>
      </c>
      <c r="B57">
        <f>YEAR(#REF!)</f>
        <v>2008</v>
      </c>
      <c r="C57" t="s">
        <v>500</v>
      </c>
      <c r="D57" s="1">
        <v>39598</v>
      </c>
      <c r="E57" t="s">
        <v>76</v>
      </c>
      <c r="F57" t="s">
        <v>14</v>
      </c>
      <c r="H57" t="s">
        <v>76</v>
      </c>
      <c r="I57" t="s">
        <v>89</v>
      </c>
      <c r="J57" t="s">
        <v>78</v>
      </c>
      <c r="K57" t="s">
        <v>14</v>
      </c>
      <c r="L57" t="s">
        <v>166</v>
      </c>
      <c r="M57" t="s">
        <v>97</v>
      </c>
      <c r="N57" t="s">
        <v>92</v>
      </c>
    </row>
    <row r="58" spans="1:14" x14ac:dyDescent="0.2">
      <c r="A58">
        <v>336039</v>
      </c>
      <c r="B58">
        <f>YEAR(#REF!)</f>
        <v>2008</v>
      </c>
      <c r="C58" t="s">
        <v>500</v>
      </c>
      <c r="D58" s="1">
        <v>39599</v>
      </c>
      <c r="E58" t="s">
        <v>15</v>
      </c>
      <c r="F58" t="s">
        <v>33</v>
      </c>
      <c r="H58" t="s">
        <v>33</v>
      </c>
      <c r="I58" t="s">
        <v>77</v>
      </c>
      <c r="J58" t="s">
        <v>78</v>
      </c>
      <c r="K58" t="s">
        <v>15</v>
      </c>
      <c r="L58" t="s">
        <v>173</v>
      </c>
      <c r="M58" t="s">
        <v>97</v>
      </c>
      <c r="N58" t="s">
        <v>92</v>
      </c>
    </row>
    <row r="59" spans="1:14" x14ac:dyDescent="0.2">
      <c r="A59">
        <v>336040</v>
      </c>
      <c r="B59">
        <f>YEAR(#REF!)</f>
        <v>2008</v>
      </c>
      <c r="C59" t="s">
        <v>500</v>
      </c>
      <c r="D59" s="1">
        <v>39600</v>
      </c>
      <c r="E59" t="s">
        <v>15</v>
      </c>
      <c r="F59" t="s">
        <v>14</v>
      </c>
      <c r="H59" t="s">
        <v>14</v>
      </c>
      <c r="I59" t="s">
        <v>89</v>
      </c>
      <c r="J59" t="s">
        <v>78</v>
      </c>
      <c r="K59" t="s">
        <v>14</v>
      </c>
      <c r="L59" t="s">
        <v>199</v>
      </c>
      <c r="M59" t="s">
        <v>273</v>
      </c>
      <c r="N59" t="s">
        <v>92</v>
      </c>
    </row>
    <row r="60" spans="1:14" x14ac:dyDescent="0.2">
      <c r="A60">
        <v>392182</v>
      </c>
      <c r="B60">
        <f>YEAR(#REF!)</f>
        <v>2009</v>
      </c>
      <c r="C60" t="s">
        <v>501</v>
      </c>
      <c r="D60" s="1">
        <v>39921</v>
      </c>
      <c r="E60" t="s">
        <v>20</v>
      </c>
      <c r="F60" t="s">
        <v>14</v>
      </c>
      <c r="H60" t="s">
        <v>20</v>
      </c>
      <c r="I60" t="s">
        <v>77</v>
      </c>
      <c r="J60" t="s">
        <v>78</v>
      </c>
      <c r="K60" t="s">
        <v>20</v>
      </c>
      <c r="L60" t="s">
        <v>369</v>
      </c>
      <c r="M60" t="s">
        <v>209</v>
      </c>
      <c r="N60" t="s">
        <v>210</v>
      </c>
    </row>
    <row r="61" spans="1:14" x14ac:dyDescent="0.2">
      <c r="A61">
        <v>392181</v>
      </c>
      <c r="B61">
        <f>YEAR(#REF!)</f>
        <v>2009</v>
      </c>
      <c r="C61" t="s">
        <v>501</v>
      </c>
      <c r="D61" s="1">
        <v>39921</v>
      </c>
      <c r="E61" t="s">
        <v>15</v>
      </c>
      <c r="F61" t="s">
        <v>24</v>
      </c>
      <c r="H61" t="s">
        <v>15</v>
      </c>
      <c r="I61" t="s">
        <v>89</v>
      </c>
      <c r="J61" t="s">
        <v>78</v>
      </c>
      <c r="K61" t="s">
        <v>24</v>
      </c>
      <c r="L61" t="s">
        <v>326</v>
      </c>
      <c r="M61" t="s">
        <v>209</v>
      </c>
      <c r="N61" t="s">
        <v>210</v>
      </c>
    </row>
    <row r="62" spans="1:14" x14ac:dyDescent="0.2">
      <c r="A62">
        <v>392184</v>
      </c>
      <c r="B62">
        <f>YEAR(#REF!)</f>
        <v>2009</v>
      </c>
      <c r="C62" t="s">
        <v>501</v>
      </c>
      <c r="D62" s="1">
        <v>39922</v>
      </c>
      <c r="E62" t="s">
        <v>19</v>
      </c>
      <c r="F62" t="s">
        <v>29</v>
      </c>
      <c r="H62" t="s">
        <v>29</v>
      </c>
      <c r="I62" t="s">
        <v>77</v>
      </c>
      <c r="J62" t="s">
        <v>78</v>
      </c>
      <c r="K62" t="s">
        <v>19</v>
      </c>
      <c r="L62" t="s">
        <v>22</v>
      </c>
      <c r="M62" t="s">
        <v>209</v>
      </c>
      <c r="N62" t="s">
        <v>210</v>
      </c>
    </row>
    <row r="63" spans="1:14" x14ac:dyDescent="0.2">
      <c r="A63">
        <v>392183</v>
      </c>
      <c r="B63">
        <f>YEAR(#REF!)</f>
        <v>2009</v>
      </c>
      <c r="C63" t="s">
        <v>501</v>
      </c>
      <c r="D63" s="1">
        <v>39922</v>
      </c>
      <c r="E63" t="s">
        <v>76</v>
      </c>
      <c r="F63" t="s">
        <v>33</v>
      </c>
      <c r="H63" t="s">
        <v>76</v>
      </c>
      <c r="I63" t="s">
        <v>89</v>
      </c>
      <c r="J63" t="s">
        <v>78</v>
      </c>
      <c r="K63" t="s">
        <v>76</v>
      </c>
      <c r="L63" t="s">
        <v>435</v>
      </c>
      <c r="M63" t="s">
        <v>209</v>
      </c>
      <c r="N63" t="s">
        <v>210</v>
      </c>
    </row>
    <row r="64" spans="1:14" x14ac:dyDescent="0.2">
      <c r="A64">
        <v>392185</v>
      </c>
      <c r="B64">
        <f>YEAR(#REF!)</f>
        <v>2009</v>
      </c>
      <c r="C64" t="s">
        <v>501</v>
      </c>
      <c r="D64" s="1">
        <v>39923</v>
      </c>
      <c r="E64" t="s">
        <v>20</v>
      </c>
      <c r="F64" t="s">
        <v>15</v>
      </c>
      <c r="H64" t="s">
        <v>15</v>
      </c>
      <c r="I64" t="s">
        <v>77</v>
      </c>
      <c r="J64" t="s">
        <v>78</v>
      </c>
      <c r="K64" t="s">
        <v>15</v>
      </c>
      <c r="L64" t="s">
        <v>381</v>
      </c>
      <c r="M64" t="s">
        <v>336</v>
      </c>
      <c r="N64" t="s">
        <v>337</v>
      </c>
    </row>
    <row r="65" spans="1:14" x14ac:dyDescent="0.2">
      <c r="A65">
        <v>392186</v>
      </c>
      <c r="B65">
        <f>YEAR(#REF!)</f>
        <v>2009</v>
      </c>
      <c r="C65" t="s">
        <v>501</v>
      </c>
      <c r="D65" s="1">
        <v>39924</v>
      </c>
      <c r="E65" t="s">
        <v>33</v>
      </c>
      <c r="F65" t="s">
        <v>29</v>
      </c>
      <c r="H65" t="s">
        <v>29</v>
      </c>
      <c r="I65" t="s">
        <v>89</v>
      </c>
      <c r="J65" t="s">
        <v>78</v>
      </c>
      <c r="K65" t="s">
        <v>29</v>
      </c>
      <c r="L65" t="s">
        <v>214</v>
      </c>
      <c r="M65" t="s">
        <v>215</v>
      </c>
      <c r="N65" t="s">
        <v>216</v>
      </c>
    </row>
    <row r="66" spans="1:14" x14ac:dyDescent="0.2">
      <c r="A66">
        <v>392188</v>
      </c>
      <c r="B66">
        <f>YEAR(#REF!)</f>
        <v>2009</v>
      </c>
      <c r="C66" t="s">
        <v>501</v>
      </c>
      <c r="D66" s="1">
        <v>39925</v>
      </c>
      <c r="E66" t="s">
        <v>20</v>
      </c>
      <c r="F66" t="s">
        <v>19</v>
      </c>
      <c r="H66" t="s">
        <v>19</v>
      </c>
      <c r="I66" t="s">
        <v>77</v>
      </c>
      <c r="J66" t="s">
        <v>78</v>
      </c>
      <c r="K66" t="s">
        <v>19</v>
      </c>
      <c r="L66" t="s">
        <v>174</v>
      </c>
      <c r="M66" t="s">
        <v>209</v>
      </c>
      <c r="N66" t="s">
        <v>210</v>
      </c>
    </row>
    <row r="67" spans="1:14" x14ac:dyDescent="0.2">
      <c r="A67">
        <v>392190</v>
      </c>
      <c r="B67">
        <f>YEAR(#REF!)</f>
        <v>2009</v>
      </c>
      <c r="C67" t="s">
        <v>501</v>
      </c>
      <c r="D67" s="1">
        <v>39926</v>
      </c>
      <c r="E67" t="s">
        <v>29</v>
      </c>
      <c r="F67" t="s">
        <v>14</v>
      </c>
      <c r="H67" t="s">
        <v>29</v>
      </c>
      <c r="I67" t="s">
        <v>89</v>
      </c>
      <c r="J67" t="s">
        <v>310</v>
      </c>
      <c r="K67" t="s">
        <v>79</v>
      </c>
      <c r="L67" t="s">
        <v>199</v>
      </c>
      <c r="M67" t="s">
        <v>209</v>
      </c>
      <c r="N67" t="s">
        <v>210</v>
      </c>
    </row>
    <row r="68" spans="1:14" x14ac:dyDescent="0.2">
      <c r="A68">
        <v>392189</v>
      </c>
      <c r="B68">
        <f>YEAR(#REF!)</f>
        <v>2009</v>
      </c>
      <c r="C68" t="s">
        <v>501</v>
      </c>
      <c r="D68" s="1">
        <v>39926</v>
      </c>
      <c r="E68" t="s">
        <v>15</v>
      </c>
      <c r="F68" t="s">
        <v>76</v>
      </c>
      <c r="H68" t="s">
        <v>76</v>
      </c>
      <c r="I68" t="s">
        <v>77</v>
      </c>
      <c r="J68" t="s">
        <v>78</v>
      </c>
      <c r="K68" t="s">
        <v>76</v>
      </c>
      <c r="L68" t="s">
        <v>38</v>
      </c>
      <c r="M68" t="s">
        <v>215</v>
      </c>
      <c r="N68" t="s">
        <v>216</v>
      </c>
    </row>
    <row r="69" spans="1:14" x14ac:dyDescent="0.2">
      <c r="A69">
        <v>392191</v>
      </c>
      <c r="B69">
        <f>YEAR(#REF!)</f>
        <v>2009</v>
      </c>
      <c r="C69" t="s">
        <v>501</v>
      </c>
      <c r="D69" s="1">
        <v>39927</v>
      </c>
      <c r="E69" t="s">
        <v>20</v>
      </c>
      <c r="F69" t="s">
        <v>33</v>
      </c>
      <c r="H69" t="s">
        <v>20</v>
      </c>
      <c r="I69" t="s">
        <v>77</v>
      </c>
      <c r="J69" t="s">
        <v>78</v>
      </c>
      <c r="K69" t="s">
        <v>33</v>
      </c>
      <c r="L69" t="s">
        <v>487</v>
      </c>
      <c r="M69" t="s">
        <v>215</v>
      </c>
      <c r="N69" t="s">
        <v>216</v>
      </c>
    </row>
    <row r="70" spans="1:14" x14ac:dyDescent="0.2">
      <c r="A70">
        <v>392192</v>
      </c>
      <c r="B70">
        <f>YEAR(#REF!)</f>
        <v>2009</v>
      </c>
      <c r="C70" t="s">
        <v>501</v>
      </c>
      <c r="D70" s="1">
        <v>39928</v>
      </c>
      <c r="E70" t="s">
        <v>19</v>
      </c>
      <c r="F70" t="s">
        <v>24</v>
      </c>
      <c r="H70" t="s">
        <v>19</v>
      </c>
      <c r="I70" t="s">
        <v>77</v>
      </c>
      <c r="J70" t="s">
        <v>78</v>
      </c>
      <c r="K70" t="s">
        <v>19</v>
      </c>
      <c r="L70" t="s">
        <v>456</v>
      </c>
      <c r="M70" t="s">
        <v>215</v>
      </c>
      <c r="N70" t="s">
        <v>216</v>
      </c>
    </row>
    <row r="71" spans="1:14" x14ac:dyDescent="0.2">
      <c r="A71">
        <v>392195</v>
      </c>
      <c r="B71">
        <f>YEAR(#REF!)</f>
        <v>2009</v>
      </c>
      <c r="C71" t="s">
        <v>501</v>
      </c>
      <c r="D71" s="1">
        <v>39929</v>
      </c>
      <c r="E71" t="s">
        <v>33</v>
      </c>
      <c r="F71" t="s">
        <v>14</v>
      </c>
      <c r="H71" t="s">
        <v>33</v>
      </c>
      <c r="I71" t="s">
        <v>77</v>
      </c>
      <c r="J71" t="s">
        <v>78</v>
      </c>
      <c r="K71" t="s">
        <v>33</v>
      </c>
      <c r="L71" t="s">
        <v>208</v>
      </c>
      <c r="M71" t="s">
        <v>209</v>
      </c>
      <c r="N71" t="s">
        <v>210</v>
      </c>
    </row>
    <row r="72" spans="1:14" x14ac:dyDescent="0.2">
      <c r="A72">
        <v>392194</v>
      </c>
      <c r="B72">
        <f>YEAR(#REF!)</f>
        <v>2009</v>
      </c>
      <c r="C72" t="s">
        <v>501</v>
      </c>
      <c r="D72" s="1">
        <v>39929</v>
      </c>
      <c r="E72" t="s">
        <v>20</v>
      </c>
      <c r="F72" t="s">
        <v>76</v>
      </c>
      <c r="H72" t="s">
        <v>20</v>
      </c>
      <c r="I72" t="s">
        <v>77</v>
      </c>
      <c r="J72" t="s">
        <v>78</v>
      </c>
      <c r="K72" t="s">
        <v>76</v>
      </c>
      <c r="L72" t="s">
        <v>393</v>
      </c>
      <c r="M72" t="s">
        <v>336</v>
      </c>
      <c r="N72" t="s">
        <v>337</v>
      </c>
    </row>
    <row r="73" spans="1:14" x14ac:dyDescent="0.2">
      <c r="A73">
        <v>392196</v>
      </c>
      <c r="B73">
        <f>YEAR(#REF!)</f>
        <v>2009</v>
      </c>
      <c r="C73" t="s">
        <v>501</v>
      </c>
      <c r="D73" s="1">
        <v>39930</v>
      </c>
      <c r="E73" t="s">
        <v>15</v>
      </c>
      <c r="F73" t="s">
        <v>19</v>
      </c>
      <c r="H73" t="s">
        <v>19</v>
      </c>
      <c r="I73" t="s">
        <v>89</v>
      </c>
      <c r="J73" t="s">
        <v>78</v>
      </c>
      <c r="K73" t="s">
        <v>19</v>
      </c>
      <c r="L73" t="s">
        <v>414</v>
      </c>
      <c r="M73" t="s">
        <v>215</v>
      </c>
      <c r="N73" t="s">
        <v>216</v>
      </c>
    </row>
    <row r="74" spans="1:14" x14ac:dyDescent="0.2">
      <c r="A74">
        <v>392197</v>
      </c>
      <c r="B74">
        <f>YEAR(#REF!)</f>
        <v>2009</v>
      </c>
      <c r="C74" t="s">
        <v>501</v>
      </c>
      <c r="D74" s="1">
        <v>39930</v>
      </c>
      <c r="E74" t="s">
        <v>29</v>
      </c>
      <c r="F74" t="s">
        <v>24</v>
      </c>
      <c r="H74" t="s">
        <v>24</v>
      </c>
      <c r="I74" t="s">
        <v>77</v>
      </c>
      <c r="J74" t="s">
        <v>78</v>
      </c>
      <c r="K74" t="s">
        <v>24</v>
      </c>
      <c r="L74" t="s">
        <v>326</v>
      </c>
      <c r="M74" t="s">
        <v>336</v>
      </c>
      <c r="N74" t="s">
        <v>337</v>
      </c>
    </row>
    <row r="75" spans="1:14" x14ac:dyDescent="0.2">
      <c r="A75">
        <v>392198</v>
      </c>
      <c r="B75">
        <f>YEAR(#REF!)</f>
        <v>2009</v>
      </c>
      <c r="C75" t="s">
        <v>501</v>
      </c>
      <c r="D75" s="1">
        <v>39931</v>
      </c>
      <c r="E75" t="s">
        <v>76</v>
      </c>
      <c r="F75" t="s">
        <v>14</v>
      </c>
      <c r="H75" t="s">
        <v>76</v>
      </c>
      <c r="I75" t="s">
        <v>77</v>
      </c>
      <c r="J75" t="s">
        <v>78</v>
      </c>
      <c r="K75" t="s">
        <v>14</v>
      </c>
      <c r="L75" t="s">
        <v>199</v>
      </c>
      <c r="M75" t="s">
        <v>200</v>
      </c>
      <c r="N75" t="s">
        <v>201</v>
      </c>
    </row>
    <row r="76" spans="1:14" x14ac:dyDescent="0.2">
      <c r="A76">
        <v>392199</v>
      </c>
      <c r="B76">
        <f>YEAR(#REF!)</f>
        <v>2009</v>
      </c>
      <c r="C76" t="s">
        <v>501</v>
      </c>
      <c r="D76" s="1">
        <v>39932</v>
      </c>
      <c r="E76" t="s">
        <v>20</v>
      </c>
      <c r="F76" t="s">
        <v>29</v>
      </c>
      <c r="H76" t="s">
        <v>29</v>
      </c>
      <c r="I76" t="s">
        <v>77</v>
      </c>
      <c r="J76" t="s">
        <v>78</v>
      </c>
      <c r="K76" t="s">
        <v>20</v>
      </c>
      <c r="L76" t="s">
        <v>223</v>
      </c>
      <c r="M76" t="s">
        <v>215</v>
      </c>
      <c r="N76" t="s">
        <v>216</v>
      </c>
    </row>
    <row r="77" spans="1:14" x14ac:dyDescent="0.2">
      <c r="A77">
        <v>392200</v>
      </c>
      <c r="B77">
        <f>YEAR(#REF!)</f>
        <v>2009</v>
      </c>
      <c r="C77" t="s">
        <v>501</v>
      </c>
      <c r="D77" s="1">
        <v>39932</v>
      </c>
      <c r="E77" t="s">
        <v>33</v>
      </c>
      <c r="F77" t="s">
        <v>24</v>
      </c>
      <c r="H77" t="s">
        <v>33</v>
      </c>
      <c r="I77" t="s">
        <v>77</v>
      </c>
      <c r="J77" t="s">
        <v>78</v>
      </c>
      <c r="K77" t="s">
        <v>33</v>
      </c>
      <c r="L77" t="s">
        <v>208</v>
      </c>
      <c r="M77" t="s">
        <v>215</v>
      </c>
      <c r="N77" t="s">
        <v>216</v>
      </c>
    </row>
    <row r="78" spans="1:14" x14ac:dyDescent="0.2">
      <c r="A78">
        <v>392202</v>
      </c>
      <c r="B78">
        <f>YEAR(#REF!)</f>
        <v>2009</v>
      </c>
      <c r="C78" t="s">
        <v>501</v>
      </c>
      <c r="D78" s="1">
        <v>39933</v>
      </c>
      <c r="E78" t="s">
        <v>15</v>
      </c>
      <c r="F78" t="s">
        <v>14</v>
      </c>
      <c r="H78" t="s">
        <v>14</v>
      </c>
      <c r="I78" t="s">
        <v>89</v>
      </c>
      <c r="J78" t="s">
        <v>78</v>
      </c>
      <c r="K78" t="s">
        <v>15</v>
      </c>
      <c r="L78" t="s">
        <v>259</v>
      </c>
      <c r="M78" t="s">
        <v>200</v>
      </c>
      <c r="N78" t="s">
        <v>201</v>
      </c>
    </row>
    <row r="79" spans="1:14" x14ac:dyDescent="0.2">
      <c r="A79">
        <v>392201</v>
      </c>
      <c r="B79">
        <f>YEAR(#REF!)</f>
        <v>2009</v>
      </c>
      <c r="C79" t="s">
        <v>501</v>
      </c>
      <c r="D79" s="1">
        <v>39933</v>
      </c>
      <c r="E79" t="s">
        <v>19</v>
      </c>
      <c r="F79" t="s">
        <v>76</v>
      </c>
      <c r="H79" t="s">
        <v>76</v>
      </c>
      <c r="I79" t="s">
        <v>89</v>
      </c>
      <c r="J79" t="s">
        <v>78</v>
      </c>
      <c r="K79" t="s">
        <v>76</v>
      </c>
      <c r="L79" t="s">
        <v>497</v>
      </c>
      <c r="M79" t="s">
        <v>200</v>
      </c>
      <c r="N79" t="s">
        <v>201</v>
      </c>
    </row>
    <row r="80" spans="1:14" x14ac:dyDescent="0.2">
      <c r="A80">
        <v>392204</v>
      </c>
      <c r="B80">
        <f>YEAR(#REF!)</f>
        <v>2009</v>
      </c>
      <c r="C80" t="s">
        <v>501</v>
      </c>
      <c r="D80" s="1">
        <v>39934</v>
      </c>
      <c r="E80" t="s">
        <v>20</v>
      </c>
      <c r="F80" t="s">
        <v>33</v>
      </c>
      <c r="H80" t="s">
        <v>20</v>
      </c>
      <c r="I80" t="s">
        <v>77</v>
      </c>
      <c r="J80" t="s">
        <v>78</v>
      </c>
      <c r="K80" t="s">
        <v>20</v>
      </c>
      <c r="L80" t="s">
        <v>225</v>
      </c>
      <c r="M80" t="s">
        <v>215</v>
      </c>
      <c r="N80" t="s">
        <v>216</v>
      </c>
    </row>
    <row r="81" spans="1:14" x14ac:dyDescent="0.2">
      <c r="A81">
        <v>392203</v>
      </c>
      <c r="B81">
        <f>YEAR(#REF!)</f>
        <v>2009</v>
      </c>
      <c r="C81" t="s">
        <v>501</v>
      </c>
      <c r="D81" s="1">
        <v>39934</v>
      </c>
      <c r="E81" t="s">
        <v>29</v>
      </c>
      <c r="F81" t="s">
        <v>24</v>
      </c>
      <c r="H81" t="s">
        <v>24</v>
      </c>
      <c r="I81" t="s">
        <v>77</v>
      </c>
      <c r="J81" t="s">
        <v>78</v>
      </c>
      <c r="K81" t="s">
        <v>24</v>
      </c>
      <c r="L81" t="s">
        <v>274</v>
      </c>
      <c r="M81" t="s">
        <v>334</v>
      </c>
      <c r="N81" t="s">
        <v>335</v>
      </c>
    </row>
    <row r="82" spans="1:14" x14ac:dyDescent="0.2">
      <c r="A82">
        <v>392206</v>
      </c>
      <c r="B82">
        <f>YEAR(#REF!)</f>
        <v>2009</v>
      </c>
      <c r="C82" t="s">
        <v>501</v>
      </c>
      <c r="D82" s="1">
        <v>39935</v>
      </c>
      <c r="E82" t="s">
        <v>15</v>
      </c>
      <c r="F82" t="s">
        <v>76</v>
      </c>
      <c r="H82" t="s">
        <v>76</v>
      </c>
      <c r="I82" t="s">
        <v>89</v>
      </c>
      <c r="J82" t="s">
        <v>78</v>
      </c>
      <c r="K82" t="s">
        <v>15</v>
      </c>
      <c r="L82" t="s">
        <v>343</v>
      </c>
      <c r="M82" t="s">
        <v>344</v>
      </c>
      <c r="N82" t="s">
        <v>345</v>
      </c>
    </row>
    <row r="83" spans="1:14" x14ac:dyDescent="0.2">
      <c r="A83">
        <v>392205</v>
      </c>
      <c r="B83">
        <f>YEAR(#REF!)</f>
        <v>2009</v>
      </c>
      <c r="C83" t="s">
        <v>501</v>
      </c>
      <c r="D83" s="1">
        <v>39935</v>
      </c>
      <c r="E83" t="s">
        <v>19</v>
      </c>
      <c r="F83" t="s">
        <v>14</v>
      </c>
      <c r="H83" t="s">
        <v>19</v>
      </c>
      <c r="I83" t="s">
        <v>77</v>
      </c>
      <c r="J83" t="s">
        <v>78</v>
      </c>
      <c r="K83" t="s">
        <v>14</v>
      </c>
      <c r="L83" t="s">
        <v>199</v>
      </c>
      <c r="M83" t="s">
        <v>336</v>
      </c>
      <c r="N83" t="s">
        <v>337</v>
      </c>
    </row>
    <row r="84" spans="1:14" x14ac:dyDescent="0.2">
      <c r="A84">
        <v>392207</v>
      </c>
      <c r="B84">
        <f>YEAR(#REF!)</f>
        <v>2009</v>
      </c>
      <c r="C84" t="s">
        <v>501</v>
      </c>
      <c r="D84" s="1">
        <v>39936</v>
      </c>
      <c r="E84" t="s">
        <v>33</v>
      </c>
      <c r="F84" t="s">
        <v>29</v>
      </c>
      <c r="H84" t="s">
        <v>29</v>
      </c>
      <c r="I84" t="s">
        <v>77</v>
      </c>
      <c r="J84" t="s">
        <v>78</v>
      </c>
      <c r="K84" t="s">
        <v>33</v>
      </c>
      <c r="L84" t="s">
        <v>202</v>
      </c>
      <c r="M84" t="s">
        <v>336</v>
      </c>
      <c r="N84" t="s">
        <v>337</v>
      </c>
    </row>
    <row r="85" spans="1:14" x14ac:dyDescent="0.2">
      <c r="A85">
        <v>392208</v>
      </c>
      <c r="B85">
        <f>YEAR(#REF!)</f>
        <v>2009</v>
      </c>
      <c r="C85" t="s">
        <v>501</v>
      </c>
      <c r="D85" s="1">
        <v>39936</v>
      </c>
      <c r="E85" t="s">
        <v>20</v>
      </c>
      <c r="F85" t="s">
        <v>24</v>
      </c>
      <c r="H85" t="s">
        <v>24</v>
      </c>
      <c r="I85" t="s">
        <v>77</v>
      </c>
      <c r="J85" t="s">
        <v>78</v>
      </c>
      <c r="K85" t="s">
        <v>20</v>
      </c>
      <c r="L85" t="s">
        <v>249</v>
      </c>
      <c r="M85" t="s">
        <v>344</v>
      </c>
      <c r="N85" t="s">
        <v>345</v>
      </c>
    </row>
    <row r="86" spans="1:14" x14ac:dyDescent="0.2">
      <c r="A86">
        <v>392209</v>
      </c>
      <c r="B86">
        <f>YEAR(#REF!)</f>
        <v>2009</v>
      </c>
      <c r="C86" t="s">
        <v>501</v>
      </c>
      <c r="D86" s="1">
        <v>39937</v>
      </c>
      <c r="E86" t="s">
        <v>15</v>
      </c>
      <c r="F86" t="s">
        <v>19</v>
      </c>
      <c r="H86" t="s">
        <v>15</v>
      </c>
      <c r="I86" t="s">
        <v>77</v>
      </c>
      <c r="J86" t="s">
        <v>78</v>
      </c>
      <c r="K86" t="s">
        <v>15</v>
      </c>
      <c r="L86" t="s">
        <v>119</v>
      </c>
      <c r="M86" t="s">
        <v>334</v>
      </c>
      <c r="N86" t="s">
        <v>335</v>
      </c>
    </row>
    <row r="87" spans="1:14" x14ac:dyDescent="0.2">
      <c r="A87">
        <v>392210</v>
      </c>
      <c r="B87">
        <f>YEAR(#REF!)</f>
        <v>2009</v>
      </c>
      <c r="C87" t="s">
        <v>501</v>
      </c>
      <c r="D87" s="1">
        <v>39938</v>
      </c>
      <c r="E87" t="s">
        <v>33</v>
      </c>
      <c r="F87" t="s">
        <v>14</v>
      </c>
      <c r="H87" t="s">
        <v>33</v>
      </c>
      <c r="I87" t="s">
        <v>89</v>
      </c>
      <c r="J87" t="s">
        <v>78</v>
      </c>
      <c r="K87" t="s">
        <v>14</v>
      </c>
      <c r="L87" t="s">
        <v>383</v>
      </c>
      <c r="M87" t="s">
        <v>215</v>
      </c>
      <c r="N87" t="s">
        <v>216</v>
      </c>
    </row>
    <row r="88" spans="1:14" x14ac:dyDescent="0.2">
      <c r="A88">
        <v>392211</v>
      </c>
      <c r="B88">
        <f>YEAR(#REF!)</f>
        <v>2009</v>
      </c>
      <c r="C88" t="s">
        <v>501</v>
      </c>
      <c r="D88" s="1">
        <v>39938</v>
      </c>
      <c r="E88" t="s">
        <v>76</v>
      </c>
      <c r="F88" t="s">
        <v>29</v>
      </c>
      <c r="H88" t="s">
        <v>29</v>
      </c>
      <c r="I88" t="s">
        <v>77</v>
      </c>
      <c r="J88" t="s">
        <v>78</v>
      </c>
      <c r="K88" t="s">
        <v>76</v>
      </c>
      <c r="L88" t="s">
        <v>141</v>
      </c>
      <c r="M88" t="s">
        <v>215</v>
      </c>
      <c r="N88" t="s">
        <v>216</v>
      </c>
    </row>
    <row r="89" spans="1:14" x14ac:dyDescent="0.2">
      <c r="A89">
        <v>392212</v>
      </c>
      <c r="B89">
        <f>YEAR(#REF!)</f>
        <v>2009</v>
      </c>
      <c r="C89" t="s">
        <v>501</v>
      </c>
      <c r="D89" s="1">
        <v>39939</v>
      </c>
      <c r="E89" t="s">
        <v>19</v>
      </c>
      <c r="F89" t="s">
        <v>24</v>
      </c>
      <c r="H89" t="s">
        <v>19</v>
      </c>
      <c r="I89" t="s">
        <v>77</v>
      </c>
      <c r="J89" t="s">
        <v>78</v>
      </c>
      <c r="K89" t="s">
        <v>19</v>
      </c>
      <c r="L89" t="s">
        <v>96</v>
      </c>
      <c r="M89" t="s">
        <v>200</v>
      </c>
      <c r="N89" t="s">
        <v>201</v>
      </c>
    </row>
    <row r="90" spans="1:14" x14ac:dyDescent="0.2">
      <c r="A90">
        <v>392213</v>
      </c>
      <c r="B90">
        <f>YEAR(#REF!)</f>
        <v>2009</v>
      </c>
      <c r="C90" t="s">
        <v>501</v>
      </c>
      <c r="D90" s="1">
        <v>39940</v>
      </c>
      <c r="E90" t="s">
        <v>20</v>
      </c>
      <c r="F90" t="s">
        <v>14</v>
      </c>
      <c r="H90" t="s">
        <v>14</v>
      </c>
      <c r="I90" t="s">
        <v>89</v>
      </c>
      <c r="J90" t="s">
        <v>78</v>
      </c>
      <c r="K90" t="s">
        <v>14</v>
      </c>
      <c r="L90" t="s">
        <v>472</v>
      </c>
      <c r="M90" t="s">
        <v>200</v>
      </c>
      <c r="N90" t="s">
        <v>201</v>
      </c>
    </row>
    <row r="91" spans="1:14" x14ac:dyDescent="0.2">
      <c r="A91">
        <v>392214</v>
      </c>
      <c r="B91">
        <f>YEAR(#REF!)</f>
        <v>2009</v>
      </c>
      <c r="C91" t="s">
        <v>501</v>
      </c>
      <c r="D91" s="1">
        <v>39940</v>
      </c>
      <c r="E91" t="s">
        <v>15</v>
      </c>
      <c r="F91" t="s">
        <v>33</v>
      </c>
      <c r="H91" t="s">
        <v>15</v>
      </c>
      <c r="I91" t="s">
        <v>77</v>
      </c>
      <c r="J91" t="s">
        <v>78</v>
      </c>
      <c r="K91" t="s">
        <v>15</v>
      </c>
      <c r="L91" t="s">
        <v>86</v>
      </c>
      <c r="M91" t="s">
        <v>200</v>
      </c>
      <c r="N91" t="s">
        <v>201</v>
      </c>
    </row>
    <row r="92" spans="1:14" x14ac:dyDescent="0.2">
      <c r="A92">
        <v>392215</v>
      </c>
      <c r="B92">
        <f>YEAR(#REF!)</f>
        <v>2009</v>
      </c>
      <c r="C92" t="s">
        <v>501</v>
      </c>
      <c r="D92" s="1">
        <v>39941</v>
      </c>
      <c r="E92" t="s">
        <v>76</v>
      </c>
      <c r="F92" t="s">
        <v>24</v>
      </c>
      <c r="H92" t="s">
        <v>24</v>
      </c>
      <c r="I92" t="s">
        <v>77</v>
      </c>
      <c r="J92" t="s">
        <v>78</v>
      </c>
      <c r="K92" t="s">
        <v>76</v>
      </c>
      <c r="L92" t="s">
        <v>114</v>
      </c>
      <c r="M92" t="s">
        <v>334</v>
      </c>
      <c r="N92" t="s">
        <v>335</v>
      </c>
    </row>
    <row r="93" spans="1:14" x14ac:dyDescent="0.2">
      <c r="A93">
        <v>392216</v>
      </c>
      <c r="B93">
        <f>YEAR(#REF!)</f>
        <v>2009</v>
      </c>
      <c r="C93" t="s">
        <v>501</v>
      </c>
      <c r="D93" s="1">
        <v>39942</v>
      </c>
      <c r="E93" t="s">
        <v>19</v>
      </c>
      <c r="F93" t="s">
        <v>33</v>
      </c>
      <c r="H93" t="s">
        <v>33</v>
      </c>
      <c r="I93" t="s">
        <v>89</v>
      </c>
      <c r="J93" t="s">
        <v>78</v>
      </c>
      <c r="K93" t="s">
        <v>33</v>
      </c>
      <c r="L93" t="s">
        <v>202</v>
      </c>
      <c r="M93" t="s">
        <v>203</v>
      </c>
      <c r="N93" t="s">
        <v>204</v>
      </c>
    </row>
    <row r="94" spans="1:14" x14ac:dyDescent="0.2">
      <c r="A94">
        <v>392217</v>
      </c>
      <c r="B94">
        <f>YEAR(#REF!)</f>
        <v>2009</v>
      </c>
      <c r="C94" t="s">
        <v>501</v>
      </c>
      <c r="D94" s="1">
        <v>39942</v>
      </c>
      <c r="E94" t="s">
        <v>15</v>
      </c>
      <c r="F94" t="s">
        <v>14</v>
      </c>
      <c r="H94" t="s">
        <v>14</v>
      </c>
      <c r="I94" t="s">
        <v>77</v>
      </c>
      <c r="J94" t="s">
        <v>78</v>
      </c>
      <c r="K94" t="s">
        <v>15</v>
      </c>
      <c r="L94" t="s">
        <v>390</v>
      </c>
      <c r="M94" t="s">
        <v>203</v>
      </c>
      <c r="N94" t="s">
        <v>204</v>
      </c>
    </row>
    <row r="95" spans="1:14" x14ac:dyDescent="0.2">
      <c r="A95">
        <v>392218</v>
      </c>
      <c r="B95">
        <f>YEAR(#REF!)</f>
        <v>2009</v>
      </c>
      <c r="C95" t="s">
        <v>501</v>
      </c>
      <c r="D95" s="1">
        <v>39943</v>
      </c>
      <c r="E95" t="s">
        <v>20</v>
      </c>
      <c r="F95" t="s">
        <v>24</v>
      </c>
      <c r="H95" t="s">
        <v>24</v>
      </c>
      <c r="I95" t="s">
        <v>77</v>
      </c>
      <c r="J95" t="s">
        <v>78</v>
      </c>
      <c r="K95" t="s">
        <v>24</v>
      </c>
      <c r="L95" t="s">
        <v>274</v>
      </c>
      <c r="M95" t="s">
        <v>336</v>
      </c>
      <c r="N95" t="s">
        <v>337</v>
      </c>
    </row>
    <row r="96" spans="1:14" x14ac:dyDescent="0.2">
      <c r="A96">
        <v>392219</v>
      </c>
      <c r="B96">
        <f>YEAR(#REF!)</f>
        <v>2009</v>
      </c>
      <c r="C96" t="s">
        <v>501</v>
      </c>
      <c r="D96" s="1">
        <v>39943</v>
      </c>
      <c r="E96" t="s">
        <v>76</v>
      </c>
      <c r="F96" t="s">
        <v>29</v>
      </c>
      <c r="H96" t="s">
        <v>76</v>
      </c>
      <c r="I96" t="s">
        <v>89</v>
      </c>
      <c r="J96" t="s">
        <v>78</v>
      </c>
      <c r="K96" t="s">
        <v>76</v>
      </c>
      <c r="L96" t="s">
        <v>151</v>
      </c>
      <c r="M96" t="s">
        <v>344</v>
      </c>
      <c r="N96" t="s">
        <v>345</v>
      </c>
    </row>
    <row r="97" spans="1:14" x14ac:dyDescent="0.2">
      <c r="A97">
        <v>392220</v>
      </c>
      <c r="B97">
        <f>YEAR(#REF!)</f>
        <v>2009</v>
      </c>
      <c r="C97" t="s">
        <v>501</v>
      </c>
      <c r="D97" s="1">
        <v>39944</v>
      </c>
      <c r="E97" t="s">
        <v>19</v>
      </c>
      <c r="F97" t="s">
        <v>14</v>
      </c>
      <c r="H97" t="s">
        <v>19</v>
      </c>
      <c r="I97" t="s">
        <v>77</v>
      </c>
      <c r="J97" t="s">
        <v>78</v>
      </c>
      <c r="K97" t="s">
        <v>19</v>
      </c>
      <c r="L97" t="s">
        <v>158</v>
      </c>
      <c r="M97" t="s">
        <v>203</v>
      </c>
      <c r="N97" t="s">
        <v>204</v>
      </c>
    </row>
    <row r="98" spans="1:14" x14ac:dyDescent="0.2">
      <c r="A98">
        <v>392221</v>
      </c>
      <c r="B98">
        <f>YEAR(#REF!)</f>
        <v>2009</v>
      </c>
      <c r="C98" t="s">
        <v>501</v>
      </c>
      <c r="D98" s="1">
        <v>39945</v>
      </c>
      <c r="E98" t="s">
        <v>20</v>
      </c>
      <c r="F98" t="s">
        <v>29</v>
      </c>
      <c r="H98" t="s">
        <v>20</v>
      </c>
      <c r="I98" t="s">
        <v>89</v>
      </c>
      <c r="J98" t="s">
        <v>78</v>
      </c>
      <c r="K98" t="s">
        <v>20</v>
      </c>
      <c r="L98" t="s">
        <v>264</v>
      </c>
      <c r="M98" t="s">
        <v>200</v>
      </c>
      <c r="N98" t="s">
        <v>201</v>
      </c>
    </row>
    <row r="99" spans="1:14" x14ac:dyDescent="0.2">
      <c r="A99">
        <v>392222</v>
      </c>
      <c r="B99">
        <f>YEAR(#REF!)</f>
        <v>2009</v>
      </c>
      <c r="C99" t="s">
        <v>501</v>
      </c>
      <c r="D99" s="1">
        <v>39945</v>
      </c>
      <c r="E99" t="s">
        <v>33</v>
      </c>
      <c r="F99" t="s">
        <v>24</v>
      </c>
      <c r="H99" t="s">
        <v>33</v>
      </c>
      <c r="I99" t="s">
        <v>77</v>
      </c>
      <c r="J99" t="s">
        <v>78</v>
      </c>
      <c r="K99" t="s">
        <v>24</v>
      </c>
      <c r="L99" t="s">
        <v>101</v>
      </c>
      <c r="M99" t="s">
        <v>200</v>
      </c>
      <c r="N99" t="s">
        <v>201</v>
      </c>
    </row>
    <row r="100" spans="1:14" x14ac:dyDescent="0.2">
      <c r="A100">
        <v>392223</v>
      </c>
      <c r="B100">
        <f>YEAR(#REF!)</f>
        <v>2009</v>
      </c>
      <c r="C100" t="s">
        <v>501</v>
      </c>
      <c r="D100" s="1">
        <v>39946</v>
      </c>
      <c r="E100" t="s">
        <v>19</v>
      </c>
      <c r="F100" t="s">
        <v>76</v>
      </c>
      <c r="H100" t="s">
        <v>19</v>
      </c>
      <c r="I100" t="s">
        <v>89</v>
      </c>
      <c r="J100" t="s">
        <v>78</v>
      </c>
      <c r="K100" t="s">
        <v>76</v>
      </c>
      <c r="L100" t="s">
        <v>423</v>
      </c>
      <c r="M100" t="s">
        <v>215</v>
      </c>
      <c r="N100" t="s">
        <v>216</v>
      </c>
    </row>
    <row r="101" spans="1:14" x14ac:dyDescent="0.2">
      <c r="A101">
        <v>392225</v>
      </c>
      <c r="B101">
        <f>YEAR(#REF!)</f>
        <v>2009</v>
      </c>
      <c r="C101" t="s">
        <v>501</v>
      </c>
      <c r="D101" s="1">
        <v>39947</v>
      </c>
      <c r="E101" t="s">
        <v>24</v>
      </c>
      <c r="F101" t="s">
        <v>14</v>
      </c>
      <c r="H101" t="s">
        <v>14</v>
      </c>
      <c r="I101" t="s">
        <v>77</v>
      </c>
      <c r="J101" t="s">
        <v>78</v>
      </c>
      <c r="K101" t="s">
        <v>14</v>
      </c>
      <c r="L101" t="s">
        <v>312</v>
      </c>
      <c r="M101" t="s">
        <v>215</v>
      </c>
      <c r="N101" t="s">
        <v>216</v>
      </c>
    </row>
    <row r="102" spans="1:14" x14ac:dyDescent="0.2">
      <c r="A102">
        <v>392224</v>
      </c>
      <c r="B102">
        <f>YEAR(#REF!)</f>
        <v>2009</v>
      </c>
      <c r="C102" t="s">
        <v>501</v>
      </c>
      <c r="D102" s="1">
        <v>39947</v>
      </c>
      <c r="E102" t="s">
        <v>20</v>
      </c>
      <c r="F102" t="s">
        <v>15</v>
      </c>
      <c r="H102" t="s">
        <v>15</v>
      </c>
      <c r="I102" t="s">
        <v>77</v>
      </c>
      <c r="J102" t="s">
        <v>78</v>
      </c>
      <c r="K102" t="s">
        <v>20</v>
      </c>
      <c r="L102" t="s">
        <v>264</v>
      </c>
      <c r="M102" t="s">
        <v>215</v>
      </c>
      <c r="N102" t="s">
        <v>216</v>
      </c>
    </row>
    <row r="103" spans="1:14" x14ac:dyDescent="0.2">
      <c r="A103">
        <v>392226</v>
      </c>
      <c r="B103">
        <f>YEAR(#REF!)</f>
        <v>2009</v>
      </c>
      <c r="C103" t="s">
        <v>501</v>
      </c>
      <c r="D103" s="1">
        <v>39948</v>
      </c>
      <c r="E103" t="s">
        <v>76</v>
      </c>
      <c r="F103" t="s">
        <v>33</v>
      </c>
      <c r="H103" t="s">
        <v>33</v>
      </c>
      <c r="I103" t="s">
        <v>89</v>
      </c>
      <c r="J103" t="s">
        <v>78</v>
      </c>
      <c r="K103" t="s">
        <v>33</v>
      </c>
      <c r="L103" t="s">
        <v>372</v>
      </c>
      <c r="M103" t="s">
        <v>405</v>
      </c>
      <c r="N103" t="s">
        <v>406</v>
      </c>
    </row>
    <row r="104" spans="1:14" x14ac:dyDescent="0.2">
      <c r="A104">
        <v>392227</v>
      </c>
      <c r="B104">
        <f>YEAR(#REF!)</f>
        <v>2009</v>
      </c>
      <c r="C104" t="s">
        <v>501</v>
      </c>
      <c r="D104" s="1">
        <v>39949</v>
      </c>
      <c r="E104" t="s">
        <v>15</v>
      </c>
      <c r="F104" t="s">
        <v>24</v>
      </c>
      <c r="H104" t="s">
        <v>24</v>
      </c>
      <c r="I104" t="s">
        <v>77</v>
      </c>
      <c r="J104" t="s">
        <v>78</v>
      </c>
      <c r="K104" t="s">
        <v>15</v>
      </c>
      <c r="L104" t="s">
        <v>86</v>
      </c>
      <c r="M104" t="s">
        <v>336</v>
      </c>
      <c r="N104" t="s">
        <v>337</v>
      </c>
    </row>
    <row r="105" spans="1:14" x14ac:dyDescent="0.2">
      <c r="A105">
        <v>392228</v>
      </c>
      <c r="B105">
        <f>YEAR(#REF!)</f>
        <v>2009</v>
      </c>
      <c r="C105" t="s">
        <v>501</v>
      </c>
      <c r="D105" s="1">
        <v>39949</v>
      </c>
      <c r="E105" t="s">
        <v>19</v>
      </c>
      <c r="F105" t="s">
        <v>29</v>
      </c>
      <c r="H105" t="s">
        <v>19</v>
      </c>
      <c r="I105" t="s">
        <v>89</v>
      </c>
      <c r="J105" t="s">
        <v>78</v>
      </c>
      <c r="K105" t="s">
        <v>19</v>
      </c>
      <c r="L105" t="s">
        <v>96</v>
      </c>
      <c r="M105" t="s">
        <v>344</v>
      </c>
      <c r="N105" t="s">
        <v>345</v>
      </c>
    </row>
    <row r="106" spans="1:14" x14ac:dyDescent="0.2">
      <c r="A106">
        <v>392229</v>
      </c>
      <c r="B106">
        <f>YEAR(#REF!)</f>
        <v>2009</v>
      </c>
      <c r="C106" t="s">
        <v>501</v>
      </c>
      <c r="D106" s="1">
        <v>39950</v>
      </c>
      <c r="E106" t="s">
        <v>19</v>
      </c>
      <c r="F106" t="s">
        <v>33</v>
      </c>
      <c r="H106" t="s">
        <v>19</v>
      </c>
      <c r="I106" t="s">
        <v>89</v>
      </c>
      <c r="J106" t="s">
        <v>78</v>
      </c>
      <c r="K106" t="s">
        <v>33</v>
      </c>
      <c r="L106" t="s">
        <v>225</v>
      </c>
      <c r="M106" t="s">
        <v>344</v>
      </c>
      <c r="N106" t="s">
        <v>345</v>
      </c>
    </row>
    <row r="107" spans="1:14" x14ac:dyDescent="0.2">
      <c r="A107">
        <v>392230</v>
      </c>
      <c r="B107">
        <f>YEAR(#REF!)</f>
        <v>2009</v>
      </c>
      <c r="C107" t="s">
        <v>501</v>
      </c>
      <c r="D107" s="1">
        <v>39950</v>
      </c>
      <c r="E107" t="s">
        <v>76</v>
      </c>
      <c r="F107" t="s">
        <v>14</v>
      </c>
      <c r="H107" t="s">
        <v>76</v>
      </c>
      <c r="I107" t="s">
        <v>77</v>
      </c>
      <c r="J107" t="s">
        <v>78</v>
      </c>
      <c r="K107" t="s">
        <v>76</v>
      </c>
      <c r="L107" t="s">
        <v>38</v>
      </c>
      <c r="M107" t="s">
        <v>405</v>
      </c>
      <c r="N107" t="s">
        <v>406</v>
      </c>
    </row>
    <row r="108" spans="1:14" x14ac:dyDescent="0.2">
      <c r="A108">
        <v>392231</v>
      </c>
      <c r="B108">
        <f>YEAR(#REF!)</f>
        <v>2009</v>
      </c>
      <c r="C108" t="s">
        <v>501</v>
      </c>
      <c r="D108" s="1">
        <v>39951</v>
      </c>
      <c r="E108" t="s">
        <v>15</v>
      </c>
      <c r="F108" t="s">
        <v>29</v>
      </c>
      <c r="H108" t="s">
        <v>15</v>
      </c>
      <c r="I108" t="s">
        <v>77</v>
      </c>
      <c r="J108" t="s">
        <v>78</v>
      </c>
      <c r="K108" t="s">
        <v>29</v>
      </c>
      <c r="L108" t="s">
        <v>384</v>
      </c>
      <c r="M108" t="s">
        <v>200</v>
      </c>
      <c r="N108" t="s">
        <v>201</v>
      </c>
    </row>
    <row r="109" spans="1:14" x14ac:dyDescent="0.2">
      <c r="A109">
        <v>392232</v>
      </c>
      <c r="B109">
        <f>YEAR(#REF!)</f>
        <v>2009</v>
      </c>
      <c r="C109" t="s">
        <v>501</v>
      </c>
      <c r="D109" s="1">
        <v>39952</v>
      </c>
      <c r="E109" t="s">
        <v>20</v>
      </c>
      <c r="F109" t="s">
        <v>76</v>
      </c>
      <c r="H109" t="s">
        <v>76</v>
      </c>
      <c r="I109" t="s">
        <v>77</v>
      </c>
      <c r="J109" t="s">
        <v>78</v>
      </c>
      <c r="K109" t="s">
        <v>20</v>
      </c>
      <c r="L109" t="s">
        <v>249</v>
      </c>
      <c r="M109" t="s">
        <v>344</v>
      </c>
      <c r="N109" t="s">
        <v>345</v>
      </c>
    </row>
    <row r="110" spans="1:14" x14ac:dyDescent="0.2">
      <c r="A110">
        <v>392234</v>
      </c>
      <c r="B110">
        <f>YEAR(#REF!)</f>
        <v>2009</v>
      </c>
      <c r="C110" t="s">
        <v>501</v>
      </c>
      <c r="D110" s="1">
        <v>39953</v>
      </c>
      <c r="E110" t="s">
        <v>15</v>
      </c>
      <c r="F110" t="s">
        <v>33</v>
      </c>
      <c r="H110" t="s">
        <v>15</v>
      </c>
      <c r="I110" t="s">
        <v>77</v>
      </c>
      <c r="J110" t="s">
        <v>78</v>
      </c>
      <c r="K110" t="s">
        <v>15</v>
      </c>
      <c r="L110" t="s">
        <v>381</v>
      </c>
      <c r="M110" t="s">
        <v>215</v>
      </c>
      <c r="N110" t="s">
        <v>216</v>
      </c>
    </row>
    <row r="111" spans="1:14" x14ac:dyDescent="0.2">
      <c r="A111">
        <v>392233</v>
      </c>
      <c r="B111">
        <f>YEAR(#REF!)</f>
        <v>2009</v>
      </c>
      <c r="C111" t="s">
        <v>501</v>
      </c>
      <c r="D111" s="1">
        <v>39953</v>
      </c>
      <c r="E111" t="s">
        <v>29</v>
      </c>
      <c r="F111" t="s">
        <v>14</v>
      </c>
      <c r="H111" t="s">
        <v>29</v>
      </c>
      <c r="I111" t="s">
        <v>89</v>
      </c>
      <c r="J111" t="s">
        <v>78</v>
      </c>
      <c r="K111" t="s">
        <v>29</v>
      </c>
      <c r="L111" t="s">
        <v>471</v>
      </c>
      <c r="M111" t="s">
        <v>215</v>
      </c>
      <c r="N111" t="s">
        <v>216</v>
      </c>
    </row>
    <row r="112" spans="1:14" x14ac:dyDescent="0.2">
      <c r="A112">
        <v>392236</v>
      </c>
      <c r="B112">
        <f>YEAR(#REF!)</f>
        <v>2009</v>
      </c>
      <c r="C112" t="s">
        <v>501</v>
      </c>
      <c r="D112" s="1">
        <v>39954</v>
      </c>
      <c r="E112" t="s">
        <v>20</v>
      </c>
      <c r="F112" t="s">
        <v>19</v>
      </c>
      <c r="H112" t="s">
        <v>20</v>
      </c>
      <c r="I112" t="s">
        <v>77</v>
      </c>
      <c r="J112" t="s">
        <v>78</v>
      </c>
      <c r="K112" t="s">
        <v>20</v>
      </c>
      <c r="L112" t="s">
        <v>253</v>
      </c>
      <c r="M112" t="s">
        <v>200</v>
      </c>
      <c r="N112" t="s">
        <v>201</v>
      </c>
    </row>
    <row r="113" spans="1:14" x14ac:dyDescent="0.2">
      <c r="A113">
        <v>392235</v>
      </c>
      <c r="B113">
        <f>YEAR(#REF!)</f>
        <v>2009</v>
      </c>
      <c r="C113" t="s">
        <v>501</v>
      </c>
      <c r="D113" s="1">
        <v>39954</v>
      </c>
      <c r="E113" t="s">
        <v>76</v>
      </c>
      <c r="F113" t="s">
        <v>24</v>
      </c>
      <c r="H113" t="s">
        <v>76</v>
      </c>
      <c r="I113" t="s">
        <v>89</v>
      </c>
      <c r="J113" t="s">
        <v>78</v>
      </c>
      <c r="K113" t="s">
        <v>76</v>
      </c>
      <c r="L113" t="s">
        <v>319</v>
      </c>
      <c r="M113" t="s">
        <v>200</v>
      </c>
      <c r="N113" t="s">
        <v>201</v>
      </c>
    </row>
    <row r="114" spans="1:14" x14ac:dyDescent="0.2">
      <c r="A114">
        <v>392237</v>
      </c>
      <c r="B114">
        <f>YEAR(#REF!)</f>
        <v>2009</v>
      </c>
      <c r="C114" t="s">
        <v>501</v>
      </c>
      <c r="D114" s="1">
        <v>39955</v>
      </c>
      <c r="E114" t="s">
        <v>76</v>
      </c>
      <c r="F114" t="s">
        <v>19</v>
      </c>
      <c r="H114" t="s">
        <v>19</v>
      </c>
      <c r="I114" t="s">
        <v>89</v>
      </c>
      <c r="J114" t="s">
        <v>78</v>
      </c>
      <c r="K114" t="s">
        <v>19</v>
      </c>
      <c r="L114" t="s">
        <v>174</v>
      </c>
      <c r="M114" t="s">
        <v>200</v>
      </c>
      <c r="N114" t="s">
        <v>201</v>
      </c>
    </row>
    <row r="115" spans="1:14" x14ac:dyDescent="0.2">
      <c r="A115">
        <v>392238</v>
      </c>
      <c r="B115">
        <f>YEAR(#REF!)</f>
        <v>2009</v>
      </c>
      <c r="C115" t="s">
        <v>501</v>
      </c>
      <c r="D115" s="1">
        <v>39956</v>
      </c>
      <c r="E115" t="s">
        <v>20</v>
      </c>
      <c r="F115" t="s">
        <v>15</v>
      </c>
      <c r="H115" t="s">
        <v>20</v>
      </c>
      <c r="I115" t="s">
        <v>89</v>
      </c>
      <c r="J115" t="s">
        <v>78</v>
      </c>
      <c r="K115" t="s">
        <v>20</v>
      </c>
      <c r="L115" t="s">
        <v>253</v>
      </c>
      <c r="M115" t="s">
        <v>344</v>
      </c>
      <c r="N115" t="s">
        <v>345</v>
      </c>
    </row>
    <row r="116" spans="1:14" x14ac:dyDescent="0.2">
      <c r="A116">
        <v>392239</v>
      </c>
      <c r="B116">
        <f>YEAR(#REF!)</f>
        <v>2009</v>
      </c>
      <c r="C116" t="s">
        <v>501</v>
      </c>
      <c r="D116" s="1">
        <v>39957</v>
      </c>
      <c r="E116" t="s">
        <v>20</v>
      </c>
      <c r="F116" t="s">
        <v>19</v>
      </c>
      <c r="H116" t="s">
        <v>20</v>
      </c>
      <c r="I116" t="s">
        <v>89</v>
      </c>
      <c r="J116" t="s">
        <v>78</v>
      </c>
      <c r="K116" t="s">
        <v>19</v>
      </c>
      <c r="L116" t="s">
        <v>341</v>
      </c>
      <c r="M116" t="s">
        <v>344</v>
      </c>
      <c r="N116" t="s">
        <v>345</v>
      </c>
    </row>
    <row r="117" spans="1:14" x14ac:dyDescent="0.2">
      <c r="A117">
        <v>419106</v>
      </c>
      <c r="B117">
        <f>YEAR(#REF!)</f>
        <v>2010</v>
      </c>
      <c r="C117" t="s">
        <v>502</v>
      </c>
      <c r="D117" s="1">
        <v>40249</v>
      </c>
      <c r="E117" t="s">
        <v>19</v>
      </c>
      <c r="F117" t="s">
        <v>29</v>
      </c>
      <c r="H117" t="s">
        <v>19</v>
      </c>
      <c r="I117" t="s">
        <v>89</v>
      </c>
      <c r="J117" t="s">
        <v>78</v>
      </c>
      <c r="K117" t="s">
        <v>29</v>
      </c>
      <c r="L117" t="s">
        <v>314</v>
      </c>
      <c r="M117" t="s">
        <v>273</v>
      </c>
      <c r="N117" t="s">
        <v>92</v>
      </c>
    </row>
    <row r="118" spans="1:14" x14ac:dyDescent="0.2">
      <c r="A118">
        <v>419108</v>
      </c>
      <c r="B118">
        <f>YEAR(#REF!)</f>
        <v>2010</v>
      </c>
      <c r="C118" t="s">
        <v>502</v>
      </c>
      <c r="D118" s="1">
        <v>40250</v>
      </c>
      <c r="E118" t="s">
        <v>33</v>
      </c>
      <c r="F118" t="s">
        <v>76</v>
      </c>
      <c r="H118" t="s">
        <v>76</v>
      </c>
      <c r="I118" t="s">
        <v>89</v>
      </c>
      <c r="J118" t="s">
        <v>78</v>
      </c>
      <c r="K118" t="s">
        <v>76</v>
      </c>
      <c r="L118" t="s">
        <v>141</v>
      </c>
      <c r="M118" t="s">
        <v>112</v>
      </c>
      <c r="N118" t="s">
        <v>95</v>
      </c>
    </row>
    <row r="119" spans="1:14" x14ac:dyDescent="0.2">
      <c r="A119">
        <v>419107</v>
      </c>
      <c r="B119">
        <f>YEAR(#REF!)</f>
        <v>2010</v>
      </c>
      <c r="C119" t="s">
        <v>502</v>
      </c>
      <c r="D119" s="1">
        <v>40250</v>
      </c>
      <c r="E119" t="s">
        <v>24</v>
      </c>
      <c r="F119" t="s">
        <v>14</v>
      </c>
      <c r="H119" t="s">
        <v>24</v>
      </c>
      <c r="I119" t="s">
        <v>77</v>
      </c>
      <c r="J119" t="s">
        <v>78</v>
      </c>
      <c r="K119" t="s">
        <v>24</v>
      </c>
      <c r="L119" t="s">
        <v>199</v>
      </c>
      <c r="M119" t="s">
        <v>232</v>
      </c>
      <c r="N119" t="s">
        <v>92</v>
      </c>
    </row>
    <row r="120" spans="1:14" x14ac:dyDescent="0.2">
      <c r="A120">
        <v>419110</v>
      </c>
      <c r="B120">
        <f>YEAR(#REF!)</f>
        <v>2010</v>
      </c>
      <c r="C120" t="s">
        <v>502</v>
      </c>
      <c r="D120" s="1">
        <v>40251</v>
      </c>
      <c r="E120" t="s">
        <v>15</v>
      </c>
      <c r="F120" t="s">
        <v>19</v>
      </c>
      <c r="H120" t="s">
        <v>19</v>
      </c>
      <c r="I120" t="s">
        <v>77</v>
      </c>
      <c r="J120" t="s">
        <v>78</v>
      </c>
      <c r="K120" t="s">
        <v>19</v>
      </c>
      <c r="L120" t="s">
        <v>279</v>
      </c>
      <c r="M120" t="s">
        <v>120</v>
      </c>
      <c r="N120" t="s">
        <v>107</v>
      </c>
    </row>
    <row r="121" spans="1:14" x14ac:dyDescent="0.2">
      <c r="A121">
        <v>419109</v>
      </c>
      <c r="B121">
        <f>YEAR(#REF!)</f>
        <v>2010</v>
      </c>
      <c r="C121" t="s">
        <v>502</v>
      </c>
      <c r="D121" s="1">
        <v>40251</v>
      </c>
      <c r="E121" t="s">
        <v>29</v>
      </c>
      <c r="F121" t="s">
        <v>20</v>
      </c>
      <c r="H121" t="s">
        <v>29</v>
      </c>
      <c r="I121" t="s">
        <v>89</v>
      </c>
      <c r="J121" t="s">
        <v>78</v>
      </c>
      <c r="K121" t="s">
        <v>29</v>
      </c>
      <c r="L121" t="s">
        <v>362</v>
      </c>
      <c r="M121" t="s">
        <v>134</v>
      </c>
      <c r="N121" t="s">
        <v>135</v>
      </c>
    </row>
    <row r="122" spans="1:14" x14ac:dyDescent="0.2">
      <c r="A122">
        <v>419111</v>
      </c>
      <c r="B122">
        <f>YEAR(#REF!)</f>
        <v>2010</v>
      </c>
      <c r="C122" t="s">
        <v>502</v>
      </c>
      <c r="D122" s="1">
        <v>40252</v>
      </c>
      <c r="E122" t="s">
        <v>14</v>
      </c>
      <c r="F122" t="s">
        <v>76</v>
      </c>
      <c r="H122" t="s">
        <v>76</v>
      </c>
      <c r="I122" t="s">
        <v>89</v>
      </c>
      <c r="J122" t="s">
        <v>78</v>
      </c>
      <c r="K122" t="s">
        <v>76</v>
      </c>
      <c r="L122" t="s">
        <v>319</v>
      </c>
      <c r="M122" t="s">
        <v>185</v>
      </c>
      <c r="N122" t="s">
        <v>130</v>
      </c>
    </row>
    <row r="123" spans="1:14" x14ac:dyDescent="0.2">
      <c r="A123">
        <v>419112</v>
      </c>
      <c r="B123">
        <f>YEAR(#REF!)</f>
        <v>2010</v>
      </c>
      <c r="C123" t="s">
        <v>502</v>
      </c>
      <c r="D123" s="1">
        <v>40253</v>
      </c>
      <c r="E123" t="s">
        <v>20</v>
      </c>
      <c r="F123" t="s">
        <v>33</v>
      </c>
      <c r="H123" t="s">
        <v>33</v>
      </c>
      <c r="I123" t="s">
        <v>77</v>
      </c>
      <c r="J123" t="s">
        <v>78</v>
      </c>
      <c r="K123" t="s">
        <v>20</v>
      </c>
      <c r="L123" t="s">
        <v>249</v>
      </c>
      <c r="M123" t="s">
        <v>196</v>
      </c>
      <c r="N123" t="s">
        <v>197</v>
      </c>
    </row>
    <row r="124" spans="1:14" x14ac:dyDescent="0.2">
      <c r="A124">
        <v>419113</v>
      </c>
      <c r="B124">
        <f>YEAR(#REF!)</f>
        <v>2010</v>
      </c>
      <c r="C124" t="s">
        <v>502</v>
      </c>
      <c r="D124" s="1">
        <v>40253</v>
      </c>
      <c r="E124" t="s">
        <v>29</v>
      </c>
      <c r="F124" t="s">
        <v>15</v>
      </c>
      <c r="H124" t="s">
        <v>15</v>
      </c>
      <c r="I124" t="s">
        <v>77</v>
      </c>
      <c r="J124" t="s">
        <v>78</v>
      </c>
      <c r="K124" t="s">
        <v>15</v>
      </c>
      <c r="L124" t="s">
        <v>119</v>
      </c>
      <c r="M124" t="s">
        <v>134</v>
      </c>
      <c r="N124" t="s">
        <v>135</v>
      </c>
    </row>
    <row r="125" spans="1:14" x14ac:dyDescent="0.2">
      <c r="A125">
        <v>419114</v>
      </c>
      <c r="B125">
        <f>YEAR(#REF!)</f>
        <v>2010</v>
      </c>
      <c r="C125" t="s">
        <v>502</v>
      </c>
      <c r="D125" s="1">
        <v>40254</v>
      </c>
      <c r="E125" t="s">
        <v>76</v>
      </c>
      <c r="F125" t="s">
        <v>24</v>
      </c>
      <c r="H125" t="s">
        <v>76</v>
      </c>
      <c r="I125" t="s">
        <v>89</v>
      </c>
      <c r="J125" t="s">
        <v>78</v>
      </c>
      <c r="K125" t="s">
        <v>24</v>
      </c>
      <c r="L125" t="s">
        <v>326</v>
      </c>
      <c r="M125" t="s">
        <v>87</v>
      </c>
      <c r="N125" t="s">
        <v>88</v>
      </c>
    </row>
    <row r="126" spans="1:14" x14ac:dyDescent="0.2">
      <c r="A126">
        <v>419115</v>
      </c>
      <c r="B126">
        <f>YEAR(#REF!)</f>
        <v>2010</v>
      </c>
      <c r="C126" t="s">
        <v>502</v>
      </c>
      <c r="D126" s="1">
        <v>40255</v>
      </c>
      <c r="E126" t="s">
        <v>20</v>
      </c>
      <c r="F126" t="s">
        <v>14</v>
      </c>
      <c r="H126" t="s">
        <v>20</v>
      </c>
      <c r="I126" t="s">
        <v>89</v>
      </c>
      <c r="J126" t="s">
        <v>78</v>
      </c>
      <c r="K126" t="s">
        <v>20</v>
      </c>
      <c r="L126" t="s">
        <v>249</v>
      </c>
      <c r="M126" t="s">
        <v>196</v>
      </c>
      <c r="N126" t="s">
        <v>197</v>
      </c>
    </row>
    <row r="127" spans="1:14" x14ac:dyDescent="0.2">
      <c r="A127">
        <v>419116</v>
      </c>
      <c r="B127">
        <f>YEAR(#REF!)</f>
        <v>2010</v>
      </c>
      <c r="C127" t="s">
        <v>502</v>
      </c>
      <c r="D127" s="1">
        <v>40256</v>
      </c>
      <c r="E127" t="s">
        <v>76</v>
      </c>
      <c r="F127" t="s">
        <v>15</v>
      </c>
      <c r="H127" t="s">
        <v>76</v>
      </c>
      <c r="I127" t="s">
        <v>77</v>
      </c>
      <c r="J127" t="s">
        <v>78</v>
      </c>
      <c r="K127" t="s">
        <v>15</v>
      </c>
      <c r="L127" t="s">
        <v>86</v>
      </c>
      <c r="M127" t="s">
        <v>87</v>
      </c>
      <c r="N127" t="s">
        <v>88</v>
      </c>
    </row>
    <row r="128" spans="1:14" x14ac:dyDescent="0.2">
      <c r="A128">
        <v>419117</v>
      </c>
      <c r="B128">
        <f>YEAR(#REF!)</f>
        <v>2010</v>
      </c>
      <c r="C128" t="s">
        <v>502</v>
      </c>
      <c r="D128" s="1">
        <v>40256</v>
      </c>
      <c r="E128" t="s">
        <v>19</v>
      </c>
      <c r="F128" t="s">
        <v>33</v>
      </c>
      <c r="H128" t="s">
        <v>33</v>
      </c>
      <c r="I128" t="s">
        <v>89</v>
      </c>
      <c r="J128" t="s">
        <v>78</v>
      </c>
      <c r="K128" t="s">
        <v>19</v>
      </c>
      <c r="L128" t="s">
        <v>349</v>
      </c>
      <c r="M128" t="s">
        <v>331</v>
      </c>
      <c r="N128" t="s">
        <v>332</v>
      </c>
    </row>
    <row r="129" spans="1:14" x14ac:dyDescent="0.2">
      <c r="A129">
        <v>419118</v>
      </c>
      <c r="B129">
        <f>YEAR(#REF!)</f>
        <v>2010</v>
      </c>
      <c r="C129" t="s">
        <v>502</v>
      </c>
      <c r="D129" s="1">
        <v>40257</v>
      </c>
      <c r="E129" t="s">
        <v>14</v>
      </c>
      <c r="F129" t="s">
        <v>29</v>
      </c>
      <c r="H129" t="s">
        <v>14</v>
      </c>
      <c r="I129" t="s">
        <v>77</v>
      </c>
      <c r="J129" t="s">
        <v>78</v>
      </c>
      <c r="K129" t="s">
        <v>14</v>
      </c>
      <c r="L129" t="s">
        <v>184</v>
      </c>
      <c r="M129" t="s">
        <v>185</v>
      </c>
      <c r="N129" t="s">
        <v>130</v>
      </c>
    </row>
    <row r="130" spans="1:14" x14ac:dyDescent="0.2">
      <c r="A130">
        <v>419119</v>
      </c>
      <c r="B130">
        <f>YEAR(#REF!)</f>
        <v>2010</v>
      </c>
      <c r="C130" t="s">
        <v>502</v>
      </c>
      <c r="D130" s="1">
        <v>40257</v>
      </c>
      <c r="E130" t="s">
        <v>24</v>
      </c>
      <c r="F130" t="s">
        <v>20</v>
      </c>
      <c r="H130" t="s">
        <v>24</v>
      </c>
      <c r="I130" t="s">
        <v>77</v>
      </c>
      <c r="J130" t="s">
        <v>78</v>
      </c>
      <c r="K130" t="s">
        <v>20</v>
      </c>
      <c r="L130" t="s">
        <v>249</v>
      </c>
      <c r="M130" t="s">
        <v>232</v>
      </c>
      <c r="N130" t="s">
        <v>92</v>
      </c>
    </row>
    <row r="131" spans="1:14" x14ac:dyDescent="0.2">
      <c r="A131">
        <v>419120</v>
      </c>
      <c r="B131">
        <f>YEAR(#REF!)</f>
        <v>2010</v>
      </c>
      <c r="C131" t="s">
        <v>502</v>
      </c>
      <c r="D131" s="1">
        <v>40258</v>
      </c>
      <c r="E131" t="s">
        <v>19</v>
      </c>
      <c r="F131" t="s">
        <v>76</v>
      </c>
      <c r="H131" t="s">
        <v>19</v>
      </c>
      <c r="I131" t="s">
        <v>77</v>
      </c>
      <c r="J131" t="s">
        <v>78</v>
      </c>
      <c r="K131" t="s">
        <v>19</v>
      </c>
      <c r="L131" t="s">
        <v>349</v>
      </c>
      <c r="M131" t="s">
        <v>331</v>
      </c>
      <c r="N131" t="s">
        <v>332</v>
      </c>
    </row>
    <row r="132" spans="1:14" x14ac:dyDescent="0.2">
      <c r="A132">
        <v>419121</v>
      </c>
      <c r="B132">
        <f>YEAR(#REF!)</f>
        <v>2010</v>
      </c>
      <c r="C132" t="s">
        <v>502</v>
      </c>
      <c r="D132" s="1">
        <v>40258</v>
      </c>
      <c r="E132" t="s">
        <v>15</v>
      </c>
      <c r="F132" t="s">
        <v>33</v>
      </c>
      <c r="H132" t="s">
        <v>15</v>
      </c>
      <c r="I132" t="s">
        <v>89</v>
      </c>
      <c r="J132" t="s">
        <v>310</v>
      </c>
      <c r="K132" t="s">
        <v>79</v>
      </c>
      <c r="L132" t="s">
        <v>479</v>
      </c>
      <c r="M132" t="s">
        <v>120</v>
      </c>
      <c r="N132" t="s">
        <v>107</v>
      </c>
    </row>
    <row r="133" spans="1:14" x14ac:dyDescent="0.2">
      <c r="A133">
        <v>419122</v>
      </c>
      <c r="B133">
        <f>YEAR(#REF!)</f>
        <v>2010</v>
      </c>
      <c r="C133" t="s">
        <v>502</v>
      </c>
      <c r="D133" s="1">
        <v>40259</v>
      </c>
      <c r="E133" t="s">
        <v>24</v>
      </c>
      <c r="F133" t="s">
        <v>29</v>
      </c>
      <c r="H133" t="s">
        <v>29</v>
      </c>
      <c r="I133" t="s">
        <v>77</v>
      </c>
      <c r="J133" t="s">
        <v>78</v>
      </c>
      <c r="K133" t="s">
        <v>24</v>
      </c>
      <c r="L133" t="s">
        <v>326</v>
      </c>
      <c r="M133" t="s">
        <v>232</v>
      </c>
      <c r="N133" t="s">
        <v>92</v>
      </c>
    </row>
    <row r="134" spans="1:14" x14ac:dyDescent="0.2">
      <c r="A134">
        <v>419123</v>
      </c>
      <c r="B134">
        <f>YEAR(#REF!)</f>
        <v>2010</v>
      </c>
      <c r="C134" t="s">
        <v>502</v>
      </c>
      <c r="D134" s="1">
        <v>40260</v>
      </c>
      <c r="E134" t="s">
        <v>20</v>
      </c>
      <c r="F134" t="s">
        <v>15</v>
      </c>
      <c r="H134" t="s">
        <v>15</v>
      </c>
      <c r="I134" t="s">
        <v>89</v>
      </c>
      <c r="J134" t="s">
        <v>78</v>
      </c>
      <c r="K134" t="s">
        <v>20</v>
      </c>
      <c r="L134" t="s">
        <v>192</v>
      </c>
      <c r="M134" t="s">
        <v>196</v>
      </c>
      <c r="N134" t="s">
        <v>197</v>
      </c>
    </row>
    <row r="135" spans="1:14" x14ac:dyDescent="0.2">
      <c r="A135">
        <v>419124</v>
      </c>
      <c r="B135">
        <f>YEAR(#REF!)</f>
        <v>2010</v>
      </c>
      <c r="C135" t="s">
        <v>502</v>
      </c>
      <c r="D135" s="1">
        <v>40261</v>
      </c>
      <c r="E135" t="s">
        <v>33</v>
      </c>
      <c r="F135" t="s">
        <v>14</v>
      </c>
      <c r="H135" t="s">
        <v>33</v>
      </c>
      <c r="I135" t="s">
        <v>89</v>
      </c>
      <c r="J135" t="s">
        <v>78</v>
      </c>
      <c r="K135" t="s">
        <v>14</v>
      </c>
      <c r="L135" t="s">
        <v>392</v>
      </c>
      <c r="M135" t="s">
        <v>112</v>
      </c>
      <c r="N135" t="s">
        <v>95</v>
      </c>
    </row>
    <row r="136" spans="1:14" x14ac:dyDescent="0.2">
      <c r="A136">
        <v>419125</v>
      </c>
      <c r="B136">
        <f>YEAR(#REF!)</f>
        <v>2010</v>
      </c>
      <c r="C136" t="s">
        <v>502</v>
      </c>
      <c r="D136" s="1">
        <v>40262</v>
      </c>
      <c r="E136" t="s">
        <v>15</v>
      </c>
      <c r="F136" t="s">
        <v>24</v>
      </c>
      <c r="H136" t="s">
        <v>24</v>
      </c>
      <c r="I136" t="s">
        <v>89</v>
      </c>
      <c r="J136" t="s">
        <v>78</v>
      </c>
      <c r="K136" t="s">
        <v>24</v>
      </c>
      <c r="L136" t="s">
        <v>326</v>
      </c>
      <c r="M136" t="s">
        <v>113</v>
      </c>
      <c r="N136" t="s">
        <v>92</v>
      </c>
    </row>
    <row r="137" spans="1:14" x14ac:dyDescent="0.2">
      <c r="A137">
        <v>419128</v>
      </c>
      <c r="B137">
        <f>YEAR(#REF!)</f>
        <v>2010</v>
      </c>
      <c r="C137" t="s">
        <v>502</v>
      </c>
      <c r="D137" s="1">
        <v>40262</v>
      </c>
      <c r="E137" t="s">
        <v>20</v>
      </c>
      <c r="F137" t="s">
        <v>76</v>
      </c>
      <c r="H137" t="s">
        <v>20</v>
      </c>
      <c r="I137" t="s">
        <v>89</v>
      </c>
      <c r="J137" t="s">
        <v>78</v>
      </c>
      <c r="K137" t="s">
        <v>76</v>
      </c>
      <c r="L137" t="s">
        <v>442</v>
      </c>
      <c r="M137" t="s">
        <v>196</v>
      </c>
      <c r="N137" t="s">
        <v>197</v>
      </c>
    </row>
    <row r="138" spans="1:14" x14ac:dyDescent="0.2">
      <c r="A138">
        <v>419126</v>
      </c>
      <c r="B138">
        <f>YEAR(#REF!)</f>
        <v>2010</v>
      </c>
      <c r="C138" t="s">
        <v>502</v>
      </c>
      <c r="D138" s="1">
        <v>40263</v>
      </c>
      <c r="E138" t="s">
        <v>14</v>
      </c>
      <c r="F138" t="s">
        <v>19</v>
      </c>
      <c r="H138" t="s">
        <v>19</v>
      </c>
      <c r="I138" t="s">
        <v>77</v>
      </c>
      <c r="J138" t="s">
        <v>78</v>
      </c>
      <c r="K138" t="s">
        <v>14</v>
      </c>
      <c r="L138" t="s">
        <v>199</v>
      </c>
      <c r="M138" t="s">
        <v>185</v>
      </c>
      <c r="N138" t="s">
        <v>130</v>
      </c>
    </row>
    <row r="139" spans="1:14" x14ac:dyDescent="0.2">
      <c r="A139">
        <v>419127</v>
      </c>
      <c r="B139">
        <f>YEAR(#REF!)</f>
        <v>2010</v>
      </c>
      <c r="C139" t="s">
        <v>502</v>
      </c>
      <c r="D139" s="1">
        <v>40264</v>
      </c>
      <c r="E139" t="s">
        <v>33</v>
      </c>
      <c r="F139" t="s">
        <v>29</v>
      </c>
      <c r="H139" t="s">
        <v>29</v>
      </c>
      <c r="I139" t="s">
        <v>77</v>
      </c>
      <c r="J139" t="s">
        <v>78</v>
      </c>
      <c r="K139" t="s">
        <v>29</v>
      </c>
      <c r="L139" t="s">
        <v>362</v>
      </c>
      <c r="M139" t="s">
        <v>112</v>
      </c>
      <c r="N139" t="s">
        <v>95</v>
      </c>
    </row>
    <row r="140" spans="1:14" x14ac:dyDescent="0.2">
      <c r="A140">
        <v>419130</v>
      </c>
      <c r="B140">
        <f>YEAR(#REF!)</f>
        <v>2010</v>
      </c>
      <c r="C140" t="s">
        <v>502</v>
      </c>
      <c r="D140" s="1">
        <v>40265</v>
      </c>
      <c r="E140" t="s">
        <v>19</v>
      </c>
      <c r="F140" t="s">
        <v>24</v>
      </c>
      <c r="H140" t="s">
        <v>19</v>
      </c>
      <c r="I140" t="s">
        <v>89</v>
      </c>
      <c r="J140" t="s">
        <v>78</v>
      </c>
      <c r="K140" t="s">
        <v>24</v>
      </c>
      <c r="L140" t="s">
        <v>101</v>
      </c>
      <c r="M140" t="s">
        <v>273</v>
      </c>
      <c r="N140" t="s">
        <v>92</v>
      </c>
    </row>
    <row r="141" spans="1:14" x14ac:dyDescent="0.2">
      <c r="A141">
        <v>419129</v>
      </c>
      <c r="B141">
        <f>YEAR(#REF!)</f>
        <v>2010</v>
      </c>
      <c r="C141" t="s">
        <v>502</v>
      </c>
      <c r="D141" s="1">
        <v>40265</v>
      </c>
      <c r="E141" t="s">
        <v>14</v>
      </c>
      <c r="F141" t="s">
        <v>15</v>
      </c>
      <c r="H141" t="s">
        <v>14</v>
      </c>
      <c r="I141" t="s">
        <v>77</v>
      </c>
      <c r="J141" t="s">
        <v>78</v>
      </c>
      <c r="K141" t="s">
        <v>14</v>
      </c>
      <c r="L141" t="s">
        <v>397</v>
      </c>
      <c r="M141" t="s">
        <v>185</v>
      </c>
      <c r="N141" t="s">
        <v>130</v>
      </c>
    </row>
    <row r="142" spans="1:14" x14ac:dyDescent="0.2">
      <c r="A142">
        <v>419131</v>
      </c>
      <c r="B142">
        <f>YEAR(#REF!)</f>
        <v>2010</v>
      </c>
      <c r="C142" t="s">
        <v>502</v>
      </c>
      <c r="D142" s="1">
        <v>40266</v>
      </c>
      <c r="E142" t="s">
        <v>76</v>
      </c>
      <c r="F142" t="s">
        <v>29</v>
      </c>
      <c r="H142" t="s">
        <v>76</v>
      </c>
      <c r="I142" t="s">
        <v>77</v>
      </c>
      <c r="J142" t="s">
        <v>78</v>
      </c>
      <c r="K142" t="s">
        <v>76</v>
      </c>
      <c r="L142" t="s">
        <v>80</v>
      </c>
      <c r="M142" t="s">
        <v>87</v>
      </c>
      <c r="N142" t="s">
        <v>88</v>
      </c>
    </row>
    <row r="143" spans="1:14" x14ac:dyDescent="0.2">
      <c r="A143">
        <v>419132</v>
      </c>
      <c r="B143">
        <f>YEAR(#REF!)</f>
        <v>2010</v>
      </c>
      <c r="C143" t="s">
        <v>502</v>
      </c>
      <c r="D143" s="1">
        <v>40267</v>
      </c>
      <c r="E143" t="s">
        <v>24</v>
      </c>
      <c r="F143" t="s">
        <v>33</v>
      </c>
      <c r="H143" t="s">
        <v>24</v>
      </c>
      <c r="I143" t="s">
        <v>89</v>
      </c>
      <c r="J143" t="s">
        <v>78</v>
      </c>
      <c r="K143" t="s">
        <v>24</v>
      </c>
      <c r="L143" t="s">
        <v>161</v>
      </c>
      <c r="M143" t="s">
        <v>232</v>
      </c>
      <c r="N143" t="s">
        <v>92</v>
      </c>
    </row>
    <row r="144" spans="1:14" x14ac:dyDescent="0.2">
      <c r="A144">
        <v>419133</v>
      </c>
      <c r="B144">
        <f>YEAR(#REF!)</f>
        <v>2010</v>
      </c>
      <c r="C144" t="s">
        <v>502</v>
      </c>
      <c r="D144" s="1">
        <v>40268</v>
      </c>
      <c r="E144" t="s">
        <v>15</v>
      </c>
      <c r="F144" t="s">
        <v>20</v>
      </c>
      <c r="H144" t="s">
        <v>20</v>
      </c>
      <c r="I144" t="s">
        <v>77</v>
      </c>
      <c r="J144" t="s">
        <v>78</v>
      </c>
      <c r="K144" t="s">
        <v>15</v>
      </c>
      <c r="L144" t="s">
        <v>205</v>
      </c>
      <c r="M144" t="s">
        <v>120</v>
      </c>
      <c r="N144" t="s">
        <v>107</v>
      </c>
    </row>
    <row r="145" spans="1:14" x14ac:dyDescent="0.2">
      <c r="A145">
        <v>419134</v>
      </c>
      <c r="B145">
        <f>YEAR(#REF!)</f>
        <v>2010</v>
      </c>
      <c r="C145" t="s">
        <v>502</v>
      </c>
      <c r="D145" s="1">
        <v>40268</v>
      </c>
      <c r="E145" t="s">
        <v>76</v>
      </c>
      <c r="F145" t="s">
        <v>14</v>
      </c>
      <c r="H145" t="s">
        <v>76</v>
      </c>
      <c r="I145" t="s">
        <v>77</v>
      </c>
      <c r="J145" t="s">
        <v>78</v>
      </c>
      <c r="K145" t="s">
        <v>76</v>
      </c>
      <c r="L145" t="s">
        <v>102</v>
      </c>
      <c r="M145" t="s">
        <v>87</v>
      </c>
      <c r="N145" t="s">
        <v>88</v>
      </c>
    </row>
    <row r="146" spans="1:14" x14ac:dyDescent="0.2">
      <c r="A146">
        <v>419135</v>
      </c>
      <c r="B146">
        <f>YEAR(#REF!)</f>
        <v>2010</v>
      </c>
      <c r="C146" t="s">
        <v>502</v>
      </c>
      <c r="D146" s="1">
        <v>40269</v>
      </c>
      <c r="E146" t="s">
        <v>29</v>
      </c>
      <c r="F146" t="s">
        <v>19</v>
      </c>
      <c r="H146" t="s">
        <v>29</v>
      </c>
      <c r="I146" t="s">
        <v>77</v>
      </c>
      <c r="J146" t="s">
        <v>78</v>
      </c>
      <c r="K146" t="s">
        <v>29</v>
      </c>
      <c r="L146" t="s">
        <v>311</v>
      </c>
      <c r="M146" t="s">
        <v>134</v>
      </c>
      <c r="N146" t="s">
        <v>135</v>
      </c>
    </row>
    <row r="147" spans="1:14" x14ac:dyDescent="0.2">
      <c r="A147">
        <v>419136</v>
      </c>
      <c r="B147">
        <f>YEAR(#REF!)</f>
        <v>2010</v>
      </c>
      <c r="C147" t="s">
        <v>502</v>
      </c>
      <c r="D147" s="1">
        <v>40270</v>
      </c>
      <c r="E147" t="s">
        <v>33</v>
      </c>
      <c r="F147" t="s">
        <v>20</v>
      </c>
      <c r="H147" t="s">
        <v>33</v>
      </c>
      <c r="I147" t="s">
        <v>77</v>
      </c>
      <c r="J147" t="s">
        <v>78</v>
      </c>
      <c r="K147" t="s">
        <v>20</v>
      </c>
      <c r="L147" t="s">
        <v>152</v>
      </c>
      <c r="M147" t="s">
        <v>112</v>
      </c>
      <c r="N147" t="s">
        <v>95</v>
      </c>
    </row>
    <row r="148" spans="1:14" x14ac:dyDescent="0.2">
      <c r="A148">
        <v>419138</v>
      </c>
      <c r="B148">
        <f>YEAR(#REF!)</f>
        <v>2010</v>
      </c>
      <c r="C148" t="s">
        <v>502</v>
      </c>
      <c r="D148" s="1">
        <v>40271</v>
      </c>
      <c r="E148" t="s">
        <v>24</v>
      </c>
      <c r="F148" t="s">
        <v>19</v>
      </c>
      <c r="H148" t="s">
        <v>24</v>
      </c>
      <c r="I148" t="s">
        <v>77</v>
      </c>
      <c r="J148" t="s">
        <v>78</v>
      </c>
      <c r="K148" t="s">
        <v>24</v>
      </c>
      <c r="L148" t="s">
        <v>231</v>
      </c>
      <c r="M148" t="s">
        <v>232</v>
      </c>
      <c r="N148" t="s">
        <v>92</v>
      </c>
    </row>
    <row r="149" spans="1:14" x14ac:dyDescent="0.2">
      <c r="A149">
        <v>419137</v>
      </c>
      <c r="B149">
        <f>YEAR(#REF!)</f>
        <v>2010</v>
      </c>
      <c r="C149" t="s">
        <v>502</v>
      </c>
      <c r="D149" s="1">
        <v>40271</v>
      </c>
      <c r="E149" t="s">
        <v>15</v>
      </c>
      <c r="F149" t="s">
        <v>14</v>
      </c>
      <c r="H149" t="s">
        <v>15</v>
      </c>
      <c r="I149" t="s">
        <v>77</v>
      </c>
      <c r="J149" t="s">
        <v>78</v>
      </c>
      <c r="K149" t="s">
        <v>15</v>
      </c>
      <c r="L149" t="s">
        <v>205</v>
      </c>
      <c r="M149" t="s">
        <v>120</v>
      </c>
      <c r="N149" t="s">
        <v>107</v>
      </c>
    </row>
    <row r="150" spans="1:14" x14ac:dyDescent="0.2">
      <c r="A150">
        <v>419140</v>
      </c>
      <c r="B150">
        <f>YEAR(#REF!)</f>
        <v>2010</v>
      </c>
      <c r="C150" t="s">
        <v>502</v>
      </c>
      <c r="D150" s="1">
        <v>40272</v>
      </c>
      <c r="E150" t="s">
        <v>76</v>
      </c>
      <c r="F150" t="s">
        <v>20</v>
      </c>
      <c r="H150" t="s">
        <v>76</v>
      </c>
      <c r="I150" t="s">
        <v>77</v>
      </c>
      <c r="J150" t="s">
        <v>78</v>
      </c>
      <c r="K150" t="s">
        <v>76</v>
      </c>
      <c r="L150" t="s">
        <v>285</v>
      </c>
      <c r="M150" t="s">
        <v>87</v>
      </c>
      <c r="N150" t="s">
        <v>88</v>
      </c>
    </row>
    <row r="151" spans="1:14" x14ac:dyDescent="0.2">
      <c r="A151">
        <v>419139</v>
      </c>
      <c r="B151">
        <f>YEAR(#REF!)</f>
        <v>2010</v>
      </c>
      <c r="C151" t="s">
        <v>502</v>
      </c>
      <c r="D151" s="1">
        <v>40272</v>
      </c>
      <c r="E151" t="s">
        <v>29</v>
      </c>
      <c r="F151" t="s">
        <v>33</v>
      </c>
      <c r="H151" t="s">
        <v>29</v>
      </c>
      <c r="I151" t="s">
        <v>77</v>
      </c>
      <c r="J151" t="s">
        <v>78</v>
      </c>
      <c r="K151" t="s">
        <v>33</v>
      </c>
      <c r="L151" t="s">
        <v>202</v>
      </c>
      <c r="M151" t="s">
        <v>134</v>
      </c>
      <c r="N151" t="s">
        <v>135</v>
      </c>
    </row>
    <row r="152" spans="1:14" x14ac:dyDescent="0.2">
      <c r="A152">
        <v>419141</v>
      </c>
      <c r="B152">
        <f>YEAR(#REF!)</f>
        <v>2010</v>
      </c>
      <c r="C152" t="s">
        <v>502</v>
      </c>
      <c r="D152" s="1">
        <v>40273</v>
      </c>
      <c r="E152" t="s">
        <v>19</v>
      </c>
      <c r="F152" t="s">
        <v>14</v>
      </c>
      <c r="H152" t="s">
        <v>14</v>
      </c>
      <c r="I152" t="s">
        <v>77</v>
      </c>
      <c r="J152" t="s">
        <v>78</v>
      </c>
      <c r="K152" t="s">
        <v>14</v>
      </c>
      <c r="L152" t="s">
        <v>312</v>
      </c>
      <c r="M152" t="s">
        <v>99</v>
      </c>
      <c r="N152" t="s">
        <v>100</v>
      </c>
    </row>
    <row r="153" spans="1:14" x14ac:dyDescent="0.2">
      <c r="A153">
        <v>419142</v>
      </c>
      <c r="B153">
        <f>YEAR(#REF!)</f>
        <v>2010</v>
      </c>
      <c r="C153" t="s">
        <v>502</v>
      </c>
      <c r="D153" s="1">
        <v>40274</v>
      </c>
      <c r="E153" t="s">
        <v>15</v>
      </c>
      <c r="F153" t="s">
        <v>24</v>
      </c>
      <c r="H153" t="s">
        <v>15</v>
      </c>
      <c r="I153" t="s">
        <v>77</v>
      </c>
      <c r="J153" t="s">
        <v>78</v>
      </c>
      <c r="K153" t="s">
        <v>15</v>
      </c>
      <c r="L153" t="s">
        <v>259</v>
      </c>
      <c r="M153" t="s">
        <v>120</v>
      </c>
      <c r="N153" t="s">
        <v>107</v>
      </c>
    </row>
    <row r="154" spans="1:14" x14ac:dyDescent="0.2">
      <c r="A154">
        <v>419143</v>
      </c>
      <c r="B154">
        <f>YEAR(#REF!)</f>
        <v>2010</v>
      </c>
      <c r="C154" t="s">
        <v>502</v>
      </c>
      <c r="D154" s="1">
        <v>40275</v>
      </c>
      <c r="E154" t="s">
        <v>14</v>
      </c>
      <c r="F154" t="s">
        <v>33</v>
      </c>
      <c r="H154" t="s">
        <v>33</v>
      </c>
      <c r="I154" t="s">
        <v>77</v>
      </c>
      <c r="J154" t="s">
        <v>78</v>
      </c>
      <c r="K154" t="s">
        <v>14</v>
      </c>
      <c r="L154" t="s">
        <v>258</v>
      </c>
      <c r="M154" t="s">
        <v>153</v>
      </c>
      <c r="N154" t="s">
        <v>85</v>
      </c>
    </row>
    <row r="155" spans="1:14" x14ac:dyDescent="0.2">
      <c r="A155">
        <v>419144</v>
      </c>
      <c r="B155">
        <f>YEAR(#REF!)</f>
        <v>2010</v>
      </c>
      <c r="C155" t="s">
        <v>502</v>
      </c>
      <c r="D155" s="1">
        <v>40275</v>
      </c>
      <c r="E155" t="s">
        <v>29</v>
      </c>
      <c r="F155" t="s">
        <v>76</v>
      </c>
      <c r="H155" t="s">
        <v>29</v>
      </c>
      <c r="I155" t="s">
        <v>77</v>
      </c>
      <c r="J155" t="s">
        <v>78</v>
      </c>
      <c r="K155" t="s">
        <v>29</v>
      </c>
      <c r="L155" t="s">
        <v>311</v>
      </c>
      <c r="M155" t="s">
        <v>134</v>
      </c>
      <c r="N155" t="s">
        <v>135</v>
      </c>
    </row>
    <row r="156" spans="1:14" x14ac:dyDescent="0.2">
      <c r="A156">
        <v>419145</v>
      </c>
      <c r="B156">
        <f>YEAR(#REF!)</f>
        <v>2010</v>
      </c>
      <c r="C156" t="s">
        <v>502</v>
      </c>
      <c r="D156" s="1">
        <v>40276</v>
      </c>
      <c r="E156" t="s">
        <v>20</v>
      </c>
      <c r="F156" t="s">
        <v>19</v>
      </c>
      <c r="H156" t="s">
        <v>19</v>
      </c>
      <c r="I156" t="s">
        <v>89</v>
      </c>
      <c r="J156" t="s">
        <v>78</v>
      </c>
      <c r="K156" t="s">
        <v>19</v>
      </c>
      <c r="L156" t="s">
        <v>451</v>
      </c>
      <c r="M156" t="s">
        <v>196</v>
      </c>
      <c r="N156" t="s">
        <v>197</v>
      </c>
    </row>
    <row r="157" spans="1:14" x14ac:dyDescent="0.2">
      <c r="A157">
        <v>419146</v>
      </c>
      <c r="B157">
        <f>YEAR(#REF!)</f>
        <v>2010</v>
      </c>
      <c r="C157" t="s">
        <v>502</v>
      </c>
      <c r="D157" s="1">
        <v>40277</v>
      </c>
      <c r="E157" t="s">
        <v>33</v>
      </c>
      <c r="F157" t="s">
        <v>24</v>
      </c>
      <c r="H157" t="s">
        <v>24</v>
      </c>
      <c r="I157" t="s">
        <v>77</v>
      </c>
      <c r="J157" t="s">
        <v>78</v>
      </c>
      <c r="K157" t="s">
        <v>33</v>
      </c>
      <c r="L157" t="s">
        <v>208</v>
      </c>
      <c r="M157" t="s">
        <v>112</v>
      </c>
      <c r="N157" t="s">
        <v>95</v>
      </c>
    </row>
    <row r="158" spans="1:14" x14ac:dyDescent="0.2">
      <c r="A158">
        <v>419147</v>
      </c>
      <c r="B158">
        <f>YEAR(#REF!)</f>
        <v>2010</v>
      </c>
      <c r="C158" t="s">
        <v>502</v>
      </c>
      <c r="D158" s="1">
        <v>40278</v>
      </c>
      <c r="E158" t="s">
        <v>19</v>
      </c>
      <c r="F158" t="s">
        <v>15</v>
      </c>
      <c r="H158" t="s">
        <v>15</v>
      </c>
      <c r="I158" t="s">
        <v>77</v>
      </c>
      <c r="J158" t="s">
        <v>78</v>
      </c>
      <c r="K158" t="s">
        <v>19</v>
      </c>
      <c r="L158" t="s">
        <v>98</v>
      </c>
      <c r="M158" t="s">
        <v>99</v>
      </c>
      <c r="N158" t="s">
        <v>100</v>
      </c>
    </row>
    <row r="159" spans="1:14" x14ac:dyDescent="0.2">
      <c r="A159">
        <v>419148</v>
      </c>
      <c r="B159">
        <f>YEAR(#REF!)</f>
        <v>2010</v>
      </c>
      <c r="C159" t="s">
        <v>502</v>
      </c>
      <c r="D159" s="1">
        <v>40278</v>
      </c>
      <c r="E159" t="s">
        <v>20</v>
      </c>
      <c r="F159" t="s">
        <v>29</v>
      </c>
      <c r="H159" t="s">
        <v>20</v>
      </c>
      <c r="I159" t="s">
        <v>89</v>
      </c>
      <c r="J159" t="s">
        <v>78</v>
      </c>
      <c r="K159" t="s">
        <v>20</v>
      </c>
      <c r="L159" t="s">
        <v>407</v>
      </c>
      <c r="M159" t="s">
        <v>196</v>
      </c>
      <c r="N159" t="s">
        <v>197</v>
      </c>
    </row>
    <row r="160" spans="1:14" x14ac:dyDescent="0.2">
      <c r="A160">
        <v>419150</v>
      </c>
      <c r="B160">
        <f>YEAR(#REF!)</f>
        <v>2010</v>
      </c>
      <c r="C160" t="s">
        <v>502</v>
      </c>
      <c r="D160" s="1">
        <v>40279</v>
      </c>
      <c r="E160" t="s">
        <v>14</v>
      </c>
      <c r="F160" t="s">
        <v>24</v>
      </c>
      <c r="H160" t="s">
        <v>14</v>
      </c>
      <c r="I160" t="s">
        <v>89</v>
      </c>
      <c r="J160" t="s">
        <v>78</v>
      </c>
      <c r="K160" t="s">
        <v>24</v>
      </c>
      <c r="L160" t="s">
        <v>326</v>
      </c>
      <c r="M160" t="s">
        <v>153</v>
      </c>
      <c r="N160" t="s">
        <v>85</v>
      </c>
    </row>
    <row r="161" spans="1:14" x14ac:dyDescent="0.2">
      <c r="A161">
        <v>419149</v>
      </c>
      <c r="B161">
        <f>YEAR(#REF!)</f>
        <v>2010</v>
      </c>
      <c r="C161" t="s">
        <v>502</v>
      </c>
      <c r="D161" s="1">
        <v>40279</v>
      </c>
      <c r="E161" t="s">
        <v>76</v>
      </c>
      <c r="F161" t="s">
        <v>33</v>
      </c>
      <c r="H161" t="s">
        <v>76</v>
      </c>
      <c r="I161" t="s">
        <v>77</v>
      </c>
      <c r="J161" t="s">
        <v>78</v>
      </c>
      <c r="K161" t="s">
        <v>33</v>
      </c>
      <c r="L161" t="s">
        <v>177</v>
      </c>
      <c r="M161" t="s">
        <v>87</v>
      </c>
      <c r="N161" t="s">
        <v>88</v>
      </c>
    </row>
    <row r="162" spans="1:14" x14ac:dyDescent="0.2">
      <c r="A162">
        <v>419151</v>
      </c>
      <c r="B162">
        <f>YEAR(#REF!)</f>
        <v>2010</v>
      </c>
      <c r="C162" t="s">
        <v>502</v>
      </c>
      <c r="D162" s="1">
        <v>40280</v>
      </c>
      <c r="E162" t="s">
        <v>19</v>
      </c>
      <c r="F162" t="s">
        <v>20</v>
      </c>
      <c r="H162" t="s">
        <v>20</v>
      </c>
      <c r="I162" t="s">
        <v>89</v>
      </c>
      <c r="J162" t="s">
        <v>78</v>
      </c>
      <c r="K162" t="s">
        <v>19</v>
      </c>
      <c r="L162" t="s">
        <v>365</v>
      </c>
      <c r="M162" t="s">
        <v>99</v>
      </c>
      <c r="N162" t="s">
        <v>100</v>
      </c>
    </row>
    <row r="163" spans="1:14" x14ac:dyDescent="0.2">
      <c r="A163">
        <v>419153</v>
      </c>
      <c r="B163">
        <f>YEAR(#REF!)</f>
        <v>2010</v>
      </c>
      <c r="C163" t="s">
        <v>502</v>
      </c>
      <c r="D163" s="1">
        <v>40281</v>
      </c>
      <c r="E163" t="s">
        <v>15</v>
      </c>
      <c r="F163" t="s">
        <v>29</v>
      </c>
      <c r="H163" t="s">
        <v>29</v>
      </c>
      <c r="I163" t="s">
        <v>77</v>
      </c>
      <c r="J163" t="s">
        <v>78</v>
      </c>
      <c r="K163" t="s">
        <v>15</v>
      </c>
      <c r="L163" t="s">
        <v>93</v>
      </c>
      <c r="M163" t="s">
        <v>120</v>
      </c>
      <c r="N163" t="s">
        <v>107</v>
      </c>
    </row>
    <row r="164" spans="1:14" x14ac:dyDescent="0.2">
      <c r="A164">
        <v>419152</v>
      </c>
      <c r="B164">
        <f>YEAR(#REF!)</f>
        <v>2010</v>
      </c>
      <c r="C164" t="s">
        <v>502</v>
      </c>
      <c r="D164" s="1">
        <v>40281</v>
      </c>
      <c r="E164" t="s">
        <v>24</v>
      </c>
      <c r="F164" t="s">
        <v>76</v>
      </c>
      <c r="H164" t="s">
        <v>24</v>
      </c>
      <c r="I164" t="s">
        <v>77</v>
      </c>
      <c r="J164" t="s">
        <v>78</v>
      </c>
      <c r="K164" t="s">
        <v>24</v>
      </c>
      <c r="L164" t="s">
        <v>123</v>
      </c>
      <c r="M164" t="s">
        <v>232</v>
      </c>
      <c r="N164" t="s">
        <v>92</v>
      </c>
    </row>
    <row r="165" spans="1:14" x14ac:dyDescent="0.2">
      <c r="A165">
        <v>419154</v>
      </c>
      <c r="B165">
        <f>YEAR(#REF!)</f>
        <v>2010</v>
      </c>
      <c r="C165" t="s">
        <v>502</v>
      </c>
      <c r="D165" s="1">
        <v>40282</v>
      </c>
      <c r="E165" t="s">
        <v>14</v>
      </c>
      <c r="F165" t="s">
        <v>20</v>
      </c>
      <c r="H165" t="s">
        <v>14</v>
      </c>
      <c r="I165" t="s">
        <v>77</v>
      </c>
      <c r="J165" t="s">
        <v>78</v>
      </c>
      <c r="K165" t="s">
        <v>20</v>
      </c>
      <c r="L165" t="s">
        <v>152</v>
      </c>
      <c r="M165" t="s">
        <v>153</v>
      </c>
      <c r="N165" t="s">
        <v>85</v>
      </c>
    </row>
    <row r="166" spans="1:14" x14ac:dyDescent="0.2">
      <c r="A166">
        <v>419155</v>
      </c>
      <c r="B166">
        <f>YEAR(#REF!)</f>
        <v>2010</v>
      </c>
      <c r="C166" t="s">
        <v>502</v>
      </c>
      <c r="D166" s="1">
        <v>40283</v>
      </c>
      <c r="E166" t="s">
        <v>15</v>
      </c>
      <c r="F166" t="s">
        <v>76</v>
      </c>
      <c r="H166" t="s">
        <v>15</v>
      </c>
      <c r="I166" t="s">
        <v>77</v>
      </c>
      <c r="J166" t="s">
        <v>78</v>
      </c>
      <c r="K166" t="s">
        <v>76</v>
      </c>
      <c r="L166" t="s">
        <v>141</v>
      </c>
      <c r="M166" t="s">
        <v>120</v>
      </c>
      <c r="N166" t="s">
        <v>107</v>
      </c>
    </row>
    <row r="167" spans="1:14" x14ac:dyDescent="0.2">
      <c r="A167">
        <v>419156</v>
      </c>
      <c r="B167">
        <f>YEAR(#REF!)</f>
        <v>2010</v>
      </c>
      <c r="C167" t="s">
        <v>502</v>
      </c>
      <c r="D167" s="1">
        <v>40284</v>
      </c>
      <c r="E167" t="s">
        <v>33</v>
      </c>
      <c r="F167" t="s">
        <v>19</v>
      </c>
      <c r="H167" t="s">
        <v>19</v>
      </c>
      <c r="I167" t="s">
        <v>89</v>
      </c>
      <c r="J167" t="s">
        <v>78</v>
      </c>
      <c r="K167" t="s">
        <v>19</v>
      </c>
      <c r="L167" t="s">
        <v>96</v>
      </c>
      <c r="M167" t="s">
        <v>175</v>
      </c>
      <c r="N167" t="s">
        <v>176</v>
      </c>
    </row>
    <row r="168" spans="1:14" x14ac:dyDescent="0.2">
      <c r="A168">
        <v>419158</v>
      </c>
      <c r="B168">
        <f>YEAR(#REF!)</f>
        <v>2010</v>
      </c>
      <c r="C168" t="s">
        <v>502</v>
      </c>
      <c r="D168" s="1">
        <v>40285</v>
      </c>
      <c r="E168" t="s">
        <v>29</v>
      </c>
      <c r="F168" t="s">
        <v>14</v>
      </c>
      <c r="H168" t="s">
        <v>14</v>
      </c>
      <c r="I168" t="s">
        <v>77</v>
      </c>
      <c r="J168" t="s">
        <v>78</v>
      </c>
      <c r="K168" t="s">
        <v>29</v>
      </c>
      <c r="L168" t="s">
        <v>186</v>
      </c>
      <c r="M168" t="s">
        <v>134</v>
      </c>
      <c r="N168" t="s">
        <v>135</v>
      </c>
    </row>
    <row r="169" spans="1:14" x14ac:dyDescent="0.2">
      <c r="A169">
        <v>419157</v>
      </c>
      <c r="B169">
        <f>YEAR(#REF!)</f>
        <v>2010</v>
      </c>
      <c r="C169" t="s">
        <v>502</v>
      </c>
      <c r="D169" s="1">
        <v>40285</v>
      </c>
      <c r="E169" t="s">
        <v>20</v>
      </c>
      <c r="F169" t="s">
        <v>24</v>
      </c>
      <c r="H169" t="s">
        <v>20</v>
      </c>
      <c r="I169" t="s">
        <v>89</v>
      </c>
      <c r="J169" t="s">
        <v>78</v>
      </c>
      <c r="K169" t="s">
        <v>24</v>
      </c>
      <c r="L169" t="s">
        <v>374</v>
      </c>
      <c r="M169" t="s">
        <v>196</v>
      </c>
      <c r="N169" t="s">
        <v>197</v>
      </c>
    </row>
    <row r="170" spans="1:14" x14ac:dyDescent="0.2">
      <c r="A170">
        <v>419159</v>
      </c>
      <c r="B170">
        <f>YEAR(#REF!)</f>
        <v>2010</v>
      </c>
      <c r="C170" t="s">
        <v>502</v>
      </c>
      <c r="D170" s="1">
        <v>40286</v>
      </c>
      <c r="E170" t="s">
        <v>33</v>
      </c>
      <c r="F170" t="s">
        <v>15</v>
      </c>
      <c r="H170" t="s">
        <v>15</v>
      </c>
      <c r="I170" t="s">
        <v>89</v>
      </c>
      <c r="J170" t="s">
        <v>78</v>
      </c>
      <c r="K170" t="s">
        <v>15</v>
      </c>
      <c r="L170" t="s">
        <v>119</v>
      </c>
      <c r="M170" t="s">
        <v>175</v>
      </c>
      <c r="N170" t="s">
        <v>176</v>
      </c>
    </row>
    <row r="171" spans="1:14" x14ac:dyDescent="0.2">
      <c r="A171">
        <v>419160</v>
      </c>
      <c r="B171">
        <f>YEAR(#REF!)</f>
        <v>2010</v>
      </c>
      <c r="C171" t="s">
        <v>502</v>
      </c>
      <c r="D171" s="1">
        <v>40286</v>
      </c>
      <c r="E171" t="s">
        <v>76</v>
      </c>
      <c r="F171" t="s">
        <v>19</v>
      </c>
      <c r="H171" t="s">
        <v>19</v>
      </c>
      <c r="I171" t="s">
        <v>77</v>
      </c>
      <c r="J171" t="s">
        <v>78</v>
      </c>
      <c r="K171" t="s">
        <v>19</v>
      </c>
      <c r="L171" t="s">
        <v>349</v>
      </c>
      <c r="M171" t="s">
        <v>87</v>
      </c>
      <c r="N171" t="s">
        <v>88</v>
      </c>
    </row>
    <row r="172" spans="1:14" x14ac:dyDescent="0.2">
      <c r="A172">
        <v>419161</v>
      </c>
      <c r="B172">
        <f>YEAR(#REF!)</f>
        <v>2010</v>
      </c>
      <c r="C172" t="s">
        <v>502</v>
      </c>
      <c r="D172" s="1">
        <v>40287</v>
      </c>
      <c r="E172" t="s">
        <v>29</v>
      </c>
      <c r="F172" t="s">
        <v>24</v>
      </c>
      <c r="H172" t="s">
        <v>24</v>
      </c>
      <c r="I172" t="s">
        <v>77</v>
      </c>
      <c r="J172" t="s">
        <v>78</v>
      </c>
      <c r="K172" t="s">
        <v>29</v>
      </c>
      <c r="L172" t="s">
        <v>417</v>
      </c>
      <c r="M172" t="s">
        <v>134</v>
      </c>
      <c r="N172" t="s">
        <v>135</v>
      </c>
    </row>
    <row r="173" spans="1:14" x14ac:dyDescent="0.2">
      <c r="A173">
        <v>419162</v>
      </c>
      <c r="B173">
        <f>YEAR(#REF!)</f>
        <v>2010</v>
      </c>
      <c r="C173" t="s">
        <v>502</v>
      </c>
      <c r="D173" s="1">
        <v>40289</v>
      </c>
      <c r="E173" t="s">
        <v>20</v>
      </c>
      <c r="F173" t="s">
        <v>24</v>
      </c>
      <c r="H173" t="s">
        <v>24</v>
      </c>
      <c r="I173" t="s">
        <v>77</v>
      </c>
      <c r="J173" t="s">
        <v>78</v>
      </c>
      <c r="K173" t="s">
        <v>24</v>
      </c>
      <c r="L173" t="s">
        <v>123</v>
      </c>
      <c r="M173" t="s">
        <v>273</v>
      </c>
      <c r="N173" t="s">
        <v>92</v>
      </c>
    </row>
    <row r="174" spans="1:14" x14ac:dyDescent="0.2">
      <c r="A174">
        <v>419163</v>
      </c>
      <c r="B174">
        <f>YEAR(#REF!)</f>
        <v>2010</v>
      </c>
      <c r="C174" t="s">
        <v>502</v>
      </c>
      <c r="D174" s="1">
        <v>40290</v>
      </c>
      <c r="E174" t="s">
        <v>15</v>
      </c>
      <c r="F174" t="s">
        <v>19</v>
      </c>
      <c r="H174" t="s">
        <v>15</v>
      </c>
      <c r="I174" t="s">
        <v>77</v>
      </c>
      <c r="J174" t="s">
        <v>78</v>
      </c>
      <c r="K174" t="s">
        <v>15</v>
      </c>
      <c r="L174" t="s">
        <v>308</v>
      </c>
      <c r="M174" t="s">
        <v>273</v>
      </c>
      <c r="N174" t="s">
        <v>92</v>
      </c>
    </row>
    <row r="175" spans="1:14" x14ac:dyDescent="0.2">
      <c r="A175">
        <v>419164</v>
      </c>
      <c r="B175">
        <f>YEAR(#REF!)</f>
        <v>2010</v>
      </c>
      <c r="C175" t="s">
        <v>502</v>
      </c>
      <c r="D175" s="1">
        <v>40292</v>
      </c>
      <c r="E175" t="s">
        <v>20</v>
      </c>
      <c r="F175" t="s">
        <v>19</v>
      </c>
      <c r="H175" t="s">
        <v>19</v>
      </c>
      <c r="I175" t="s">
        <v>77</v>
      </c>
      <c r="J175" t="s">
        <v>78</v>
      </c>
      <c r="K175" t="s">
        <v>20</v>
      </c>
      <c r="L175" t="s">
        <v>341</v>
      </c>
      <c r="M175" t="s">
        <v>273</v>
      </c>
      <c r="N175" t="s">
        <v>92</v>
      </c>
    </row>
    <row r="176" spans="1:14" x14ac:dyDescent="0.2">
      <c r="A176">
        <v>419165</v>
      </c>
      <c r="B176">
        <f>YEAR(#REF!)</f>
        <v>2010</v>
      </c>
      <c r="C176" t="s">
        <v>502</v>
      </c>
      <c r="D176" s="1">
        <v>40293</v>
      </c>
      <c r="E176" t="s">
        <v>15</v>
      </c>
      <c r="F176" t="s">
        <v>24</v>
      </c>
      <c r="H176" t="s">
        <v>15</v>
      </c>
      <c r="I176" t="s">
        <v>77</v>
      </c>
      <c r="J176" t="s">
        <v>78</v>
      </c>
      <c r="K176" t="s">
        <v>15</v>
      </c>
      <c r="L176" t="s">
        <v>259</v>
      </c>
      <c r="M176" t="s">
        <v>273</v>
      </c>
      <c r="N176" t="s">
        <v>92</v>
      </c>
    </row>
    <row r="177" spans="1:14" x14ac:dyDescent="0.2">
      <c r="A177">
        <v>501198</v>
      </c>
      <c r="B177">
        <f>YEAR(#REF!)</f>
        <v>2011</v>
      </c>
      <c r="C177" t="s">
        <v>503</v>
      </c>
      <c r="D177" s="1">
        <v>40641</v>
      </c>
      <c r="E177" t="s">
        <v>15</v>
      </c>
      <c r="F177" t="s">
        <v>29</v>
      </c>
      <c r="H177" t="s">
        <v>15</v>
      </c>
      <c r="I177" t="s">
        <v>77</v>
      </c>
      <c r="J177" t="s">
        <v>78</v>
      </c>
      <c r="K177" t="s">
        <v>15</v>
      </c>
      <c r="L177" t="s">
        <v>415</v>
      </c>
      <c r="M177" t="s">
        <v>120</v>
      </c>
      <c r="N177" t="s">
        <v>107</v>
      </c>
    </row>
    <row r="178" spans="1:14" x14ac:dyDescent="0.2">
      <c r="A178">
        <v>501199</v>
      </c>
      <c r="B178">
        <f>YEAR(#REF!)</f>
        <v>2011</v>
      </c>
      <c r="C178" t="s">
        <v>503</v>
      </c>
      <c r="D178" s="1">
        <v>40642</v>
      </c>
      <c r="E178" t="s">
        <v>19</v>
      </c>
      <c r="F178" t="s">
        <v>14</v>
      </c>
      <c r="H178" t="s">
        <v>14</v>
      </c>
      <c r="I178" t="s">
        <v>89</v>
      </c>
      <c r="J178" t="s">
        <v>78</v>
      </c>
      <c r="K178" t="s">
        <v>14</v>
      </c>
      <c r="L178" t="s">
        <v>469</v>
      </c>
      <c r="M178" t="s">
        <v>164</v>
      </c>
      <c r="N178" t="s">
        <v>145</v>
      </c>
    </row>
    <row r="179" spans="1:14" x14ac:dyDescent="0.2">
      <c r="A179">
        <v>501200</v>
      </c>
      <c r="B179">
        <f>YEAR(#REF!)</f>
        <v>2011</v>
      </c>
      <c r="C179" t="s">
        <v>503</v>
      </c>
      <c r="D179" s="1">
        <v>40642</v>
      </c>
      <c r="E179" t="s">
        <v>246</v>
      </c>
      <c r="F179" t="s">
        <v>20</v>
      </c>
      <c r="H179" t="s">
        <v>246</v>
      </c>
      <c r="I179" t="s">
        <v>77</v>
      </c>
      <c r="J179" t="s">
        <v>78</v>
      </c>
      <c r="K179" t="s">
        <v>20</v>
      </c>
      <c r="L179" t="s">
        <v>38</v>
      </c>
      <c r="M179" t="s">
        <v>358</v>
      </c>
      <c r="N179" t="s">
        <v>359</v>
      </c>
    </row>
    <row r="180" spans="1:14" x14ac:dyDescent="0.2">
      <c r="A180">
        <v>501202</v>
      </c>
      <c r="B180">
        <f>YEAR(#REF!)</f>
        <v>2011</v>
      </c>
      <c r="C180" t="s">
        <v>503</v>
      </c>
      <c r="D180" s="1">
        <v>40643</v>
      </c>
      <c r="E180" t="s">
        <v>160</v>
      </c>
      <c r="F180" t="s">
        <v>33</v>
      </c>
      <c r="H180" t="s">
        <v>33</v>
      </c>
      <c r="I180" t="s">
        <v>77</v>
      </c>
      <c r="J180" t="s">
        <v>78</v>
      </c>
      <c r="K180" t="s">
        <v>160</v>
      </c>
      <c r="L180" t="s">
        <v>399</v>
      </c>
      <c r="M180" t="s">
        <v>273</v>
      </c>
      <c r="N180" t="s">
        <v>92</v>
      </c>
    </row>
    <row r="181" spans="1:14" x14ac:dyDescent="0.2">
      <c r="A181">
        <v>501201</v>
      </c>
      <c r="B181">
        <f>YEAR(#REF!)</f>
        <v>2011</v>
      </c>
      <c r="C181" t="s">
        <v>503</v>
      </c>
      <c r="D181" s="1">
        <v>40643</v>
      </c>
      <c r="E181" t="s">
        <v>76</v>
      </c>
      <c r="F181" t="s">
        <v>24</v>
      </c>
      <c r="H181" t="s">
        <v>76</v>
      </c>
      <c r="I181" t="s">
        <v>77</v>
      </c>
      <c r="J181" t="s">
        <v>78</v>
      </c>
      <c r="K181" t="s">
        <v>24</v>
      </c>
      <c r="L181" t="s">
        <v>161</v>
      </c>
      <c r="M181" t="s">
        <v>87</v>
      </c>
      <c r="N181" t="s">
        <v>88</v>
      </c>
    </row>
    <row r="182" spans="1:14" x14ac:dyDescent="0.2">
      <c r="A182">
        <v>501203</v>
      </c>
      <c r="B182">
        <f>YEAR(#REF!)</f>
        <v>2011</v>
      </c>
      <c r="C182" t="s">
        <v>503</v>
      </c>
      <c r="D182" s="1">
        <v>40644</v>
      </c>
      <c r="E182" t="s">
        <v>29</v>
      </c>
      <c r="F182" t="s">
        <v>19</v>
      </c>
      <c r="H182" t="s">
        <v>29</v>
      </c>
      <c r="I182" t="s">
        <v>77</v>
      </c>
      <c r="J182" t="s">
        <v>78</v>
      </c>
      <c r="K182" t="s">
        <v>29</v>
      </c>
      <c r="L182" t="s">
        <v>249</v>
      </c>
      <c r="M182" t="s">
        <v>134</v>
      </c>
      <c r="N182" t="s">
        <v>135</v>
      </c>
    </row>
    <row r="183" spans="1:14" x14ac:dyDescent="0.2">
      <c r="A183">
        <v>501204</v>
      </c>
      <c r="B183">
        <f>YEAR(#REF!)</f>
        <v>2011</v>
      </c>
      <c r="C183" t="s">
        <v>503</v>
      </c>
      <c r="D183" s="1">
        <v>40645</v>
      </c>
      <c r="E183" t="s">
        <v>14</v>
      </c>
      <c r="F183" t="s">
        <v>76</v>
      </c>
      <c r="H183" t="s">
        <v>76</v>
      </c>
      <c r="I183" t="s">
        <v>77</v>
      </c>
      <c r="J183" t="s">
        <v>78</v>
      </c>
      <c r="K183" t="s">
        <v>14</v>
      </c>
      <c r="L183" t="s">
        <v>312</v>
      </c>
      <c r="M183" t="s">
        <v>153</v>
      </c>
      <c r="N183" t="s">
        <v>85</v>
      </c>
    </row>
    <row r="184" spans="1:14" x14ac:dyDescent="0.2">
      <c r="A184">
        <v>501205</v>
      </c>
      <c r="B184">
        <f>YEAR(#REF!)</f>
        <v>2011</v>
      </c>
      <c r="C184" t="s">
        <v>503</v>
      </c>
      <c r="D184" s="1">
        <v>40645</v>
      </c>
      <c r="E184" t="s">
        <v>20</v>
      </c>
      <c r="F184" t="s">
        <v>24</v>
      </c>
      <c r="H184" t="s">
        <v>24</v>
      </c>
      <c r="I184" t="s">
        <v>89</v>
      </c>
      <c r="J184" t="s">
        <v>78</v>
      </c>
      <c r="K184" t="s">
        <v>24</v>
      </c>
      <c r="L184" t="s">
        <v>326</v>
      </c>
      <c r="M184" t="s">
        <v>196</v>
      </c>
      <c r="N184" t="s">
        <v>197</v>
      </c>
    </row>
    <row r="185" spans="1:14" x14ac:dyDescent="0.2">
      <c r="A185">
        <v>501207</v>
      </c>
      <c r="B185">
        <f>YEAR(#REF!)</f>
        <v>2011</v>
      </c>
      <c r="C185" t="s">
        <v>503</v>
      </c>
      <c r="D185" s="1">
        <v>40646</v>
      </c>
      <c r="E185" t="s">
        <v>160</v>
      </c>
      <c r="F185" t="s">
        <v>246</v>
      </c>
      <c r="H185" t="s">
        <v>246</v>
      </c>
      <c r="I185" t="s">
        <v>77</v>
      </c>
      <c r="J185" t="s">
        <v>78</v>
      </c>
      <c r="K185" t="s">
        <v>160</v>
      </c>
      <c r="L185" t="s">
        <v>387</v>
      </c>
      <c r="M185" t="s">
        <v>273</v>
      </c>
      <c r="N185" t="s">
        <v>92</v>
      </c>
    </row>
    <row r="186" spans="1:14" x14ac:dyDescent="0.2">
      <c r="A186">
        <v>501206</v>
      </c>
      <c r="B186">
        <f>YEAR(#REF!)</f>
        <v>2011</v>
      </c>
      <c r="C186" t="s">
        <v>503</v>
      </c>
      <c r="D186" s="1">
        <v>40646</v>
      </c>
      <c r="E186" t="s">
        <v>33</v>
      </c>
      <c r="F186" t="s">
        <v>15</v>
      </c>
      <c r="H186" t="s">
        <v>33</v>
      </c>
      <c r="I186" t="s">
        <v>89</v>
      </c>
      <c r="J186" t="s">
        <v>78</v>
      </c>
      <c r="K186" t="s">
        <v>33</v>
      </c>
      <c r="L186" t="s">
        <v>428</v>
      </c>
      <c r="M186" t="s">
        <v>112</v>
      </c>
      <c r="N186" t="s">
        <v>95</v>
      </c>
    </row>
    <row r="187" spans="1:14" x14ac:dyDescent="0.2">
      <c r="A187">
        <v>501208</v>
      </c>
      <c r="B187">
        <f>YEAR(#REF!)</f>
        <v>2011</v>
      </c>
      <c r="C187" t="s">
        <v>503</v>
      </c>
      <c r="D187" s="1">
        <v>40647</v>
      </c>
      <c r="E187" t="s">
        <v>19</v>
      </c>
      <c r="F187" t="s">
        <v>20</v>
      </c>
      <c r="H187" t="s">
        <v>20</v>
      </c>
      <c r="I187" t="s">
        <v>89</v>
      </c>
      <c r="J187" t="s">
        <v>78</v>
      </c>
      <c r="K187" t="s">
        <v>19</v>
      </c>
      <c r="L187" t="s">
        <v>342</v>
      </c>
      <c r="M187" t="s">
        <v>164</v>
      </c>
      <c r="N187" t="s">
        <v>145</v>
      </c>
    </row>
    <row r="188" spans="1:14" x14ac:dyDescent="0.2">
      <c r="A188">
        <v>501210</v>
      </c>
      <c r="B188">
        <f>YEAR(#REF!)</f>
        <v>2011</v>
      </c>
      <c r="C188" t="s">
        <v>503</v>
      </c>
      <c r="D188" s="1">
        <v>40648</v>
      </c>
      <c r="E188" t="s">
        <v>24</v>
      </c>
      <c r="F188" t="s">
        <v>246</v>
      </c>
      <c r="H188" t="s">
        <v>246</v>
      </c>
      <c r="I188" t="s">
        <v>89</v>
      </c>
      <c r="J188" t="s">
        <v>78</v>
      </c>
      <c r="K188" t="s">
        <v>246</v>
      </c>
      <c r="L188" t="s">
        <v>195</v>
      </c>
      <c r="M188" t="s">
        <v>97</v>
      </c>
      <c r="N188" t="s">
        <v>92</v>
      </c>
    </row>
    <row r="189" spans="1:14" x14ac:dyDescent="0.2">
      <c r="A189">
        <v>501209</v>
      </c>
      <c r="B189">
        <f>YEAR(#REF!)</f>
        <v>2011</v>
      </c>
      <c r="C189" t="s">
        <v>503</v>
      </c>
      <c r="D189" s="1">
        <v>40648</v>
      </c>
      <c r="E189" t="s">
        <v>14</v>
      </c>
      <c r="F189" t="s">
        <v>29</v>
      </c>
      <c r="H189" t="s">
        <v>29</v>
      </c>
      <c r="I189" t="s">
        <v>89</v>
      </c>
      <c r="J189" t="s">
        <v>78</v>
      </c>
      <c r="K189" t="s">
        <v>29</v>
      </c>
      <c r="L189" t="s">
        <v>141</v>
      </c>
      <c r="M189" t="s">
        <v>153</v>
      </c>
      <c r="N189" t="s">
        <v>85</v>
      </c>
    </row>
    <row r="190" spans="1:14" x14ac:dyDescent="0.2">
      <c r="A190">
        <v>501211</v>
      </c>
      <c r="B190">
        <f>YEAR(#REF!)</f>
        <v>2011</v>
      </c>
      <c r="C190" t="s">
        <v>503</v>
      </c>
      <c r="D190" s="1">
        <v>40649</v>
      </c>
      <c r="E190" t="s">
        <v>15</v>
      </c>
      <c r="F190" t="s">
        <v>20</v>
      </c>
      <c r="H190" t="s">
        <v>15</v>
      </c>
      <c r="I190" t="s">
        <v>77</v>
      </c>
      <c r="J190" t="s">
        <v>78</v>
      </c>
      <c r="K190" t="s">
        <v>15</v>
      </c>
      <c r="L190" t="s">
        <v>142</v>
      </c>
      <c r="M190" t="s">
        <v>120</v>
      </c>
      <c r="N190" t="s">
        <v>107</v>
      </c>
    </row>
    <row r="191" spans="1:14" x14ac:dyDescent="0.2">
      <c r="A191">
        <v>501212</v>
      </c>
      <c r="B191">
        <f>YEAR(#REF!)</f>
        <v>2011</v>
      </c>
      <c r="C191" t="s">
        <v>503</v>
      </c>
      <c r="D191" s="1">
        <v>40649</v>
      </c>
      <c r="E191" t="s">
        <v>19</v>
      </c>
      <c r="F191" t="s">
        <v>33</v>
      </c>
      <c r="H191" t="s">
        <v>33</v>
      </c>
      <c r="I191" t="s">
        <v>89</v>
      </c>
      <c r="J191" t="s">
        <v>78</v>
      </c>
      <c r="K191" t="s">
        <v>33</v>
      </c>
      <c r="L191" t="s">
        <v>428</v>
      </c>
      <c r="M191" t="s">
        <v>164</v>
      </c>
      <c r="N191" t="s">
        <v>145</v>
      </c>
    </row>
    <row r="192" spans="1:14" x14ac:dyDescent="0.2">
      <c r="A192">
        <v>501213</v>
      </c>
      <c r="B192">
        <f>YEAR(#REF!)</f>
        <v>2011</v>
      </c>
      <c r="C192" t="s">
        <v>503</v>
      </c>
      <c r="D192" s="1">
        <v>40650</v>
      </c>
      <c r="E192" t="s">
        <v>160</v>
      </c>
      <c r="F192" t="s">
        <v>76</v>
      </c>
      <c r="H192" t="s">
        <v>76</v>
      </c>
      <c r="I192" t="s">
        <v>89</v>
      </c>
      <c r="J192" t="s">
        <v>78</v>
      </c>
      <c r="K192" t="s">
        <v>76</v>
      </c>
      <c r="L192" t="s">
        <v>225</v>
      </c>
      <c r="M192" t="s">
        <v>273</v>
      </c>
      <c r="N192" t="s">
        <v>92</v>
      </c>
    </row>
    <row r="193" spans="1:14" x14ac:dyDescent="0.2">
      <c r="A193">
        <v>501214</v>
      </c>
      <c r="B193">
        <f>YEAR(#REF!)</f>
        <v>2011</v>
      </c>
      <c r="C193" t="s">
        <v>503</v>
      </c>
      <c r="D193" s="1">
        <v>40650</v>
      </c>
      <c r="E193" t="s">
        <v>29</v>
      </c>
      <c r="F193" t="s">
        <v>14</v>
      </c>
      <c r="H193" t="s">
        <v>29</v>
      </c>
      <c r="I193" t="s">
        <v>89</v>
      </c>
      <c r="J193" t="s">
        <v>78</v>
      </c>
      <c r="K193" t="s">
        <v>29</v>
      </c>
      <c r="L193" t="s">
        <v>448</v>
      </c>
      <c r="M193" t="s">
        <v>134</v>
      </c>
      <c r="N193" t="s">
        <v>135</v>
      </c>
    </row>
    <row r="194" spans="1:14" x14ac:dyDescent="0.2">
      <c r="A194">
        <v>501215</v>
      </c>
      <c r="B194">
        <f>YEAR(#REF!)</f>
        <v>2011</v>
      </c>
      <c r="C194" t="s">
        <v>503</v>
      </c>
      <c r="D194" s="1">
        <v>40651</v>
      </c>
      <c r="E194" t="s">
        <v>246</v>
      </c>
      <c r="F194" t="s">
        <v>15</v>
      </c>
      <c r="H194" t="s">
        <v>246</v>
      </c>
      <c r="I194" t="s">
        <v>89</v>
      </c>
      <c r="J194" t="s">
        <v>78</v>
      </c>
      <c r="K194" t="s">
        <v>246</v>
      </c>
      <c r="L194" t="s">
        <v>195</v>
      </c>
      <c r="M194" t="s">
        <v>358</v>
      </c>
      <c r="N194" t="s">
        <v>359</v>
      </c>
    </row>
    <row r="195" spans="1:14" x14ac:dyDescent="0.2">
      <c r="A195">
        <v>501216</v>
      </c>
      <c r="B195">
        <f>YEAR(#REF!)</f>
        <v>2011</v>
      </c>
      <c r="C195" t="s">
        <v>503</v>
      </c>
      <c r="D195" s="1">
        <v>40652</v>
      </c>
      <c r="E195" t="s">
        <v>76</v>
      </c>
      <c r="F195" t="s">
        <v>19</v>
      </c>
      <c r="H195" t="s">
        <v>19</v>
      </c>
      <c r="I195" t="s">
        <v>77</v>
      </c>
      <c r="J195" t="s">
        <v>78</v>
      </c>
      <c r="K195" t="s">
        <v>19</v>
      </c>
      <c r="L195" t="s">
        <v>272</v>
      </c>
      <c r="M195" t="s">
        <v>87</v>
      </c>
      <c r="N195" t="s">
        <v>88</v>
      </c>
    </row>
    <row r="196" spans="1:14" x14ac:dyDescent="0.2">
      <c r="A196">
        <v>501219</v>
      </c>
      <c r="B196">
        <f>YEAR(#REF!)</f>
        <v>2011</v>
      </c>
      <c r="C196" t="s">
        <v>503</v>
      </c>
      <c r="D196" s="1">
        <v>40653</v>
      </c>
      <c r="E196" t="s">
        <v>29</v>
      </c>
      <c r="F196" t="s">
        <v>246</v>
      </c>
      <c r="H196" t="s">
        <v>29</v>
      </c>
      <c r="I196" t="s">
        <v>89</v>
      </c>
      <c r="J196" t="s">
        <v>78</v>
      </c>
      <c r="K196" t="s">
        <v>246</v>
      </c>
      <c r="L196" t="s">
        <v>202</v>
      </c>
      <c r="M196" t="s">
        <v>134</v>
      </c>
      <c r="N196" t="s">
        <v>135</v>
      </c>
    </row>
    <row r="197" spans="1:14" x14ac:dyDescent="0.2">
      <c r="A197">
        <v>501218</v>
      </c>
      <c r="B197">
        <f>YEAR(#REF!)</f>
        <v>2011</v>
      </c>
      <c r="C197" t="s">
        <v>503</v>
      </c>
      <c r="D197" s="1">
        <v>40653</v>
      </c>
      <c r="E197" t="s">
        <v>24</v>
      </c>
      <c r="F197" t="s">
        <v>160</v>
      </c>
      <c r="H197" t="s">
        <v>160</v>
      </c>
      <c r="I197" t="s">
        <v>77</v>
      </c>
      <c r="J197" t="s">
        <v>78</v>
      </c>
      <c r="K197" t="s">
        <v>24</v>
      </c>
      <c r="L197" t="s">
        <v>441</v>
      </c>
      <c r="M197" t="s">
        <v>97</v>
      </c>
      <c r="N197" t="s">
        <v>92</v>
      </c>
    </row>
    <row r="198" spans="1:14" x14ac:dyDescent="0.2">
      <c r="A198">
        <v>501220</v>
      </c>
      <c r="B198">
        <f>YEAR(#REF!)</f>
        <v>2011</v>
      </c>
      <c r="C198" t="s">
        <v>503</v>
      </c>
      <c r="D198" s="1">
        <v>40654</v>
      </c>
      <c r="E198" t="s">
        <v>33</v>
      </c>
      <c r="F198" t="s">
        <v>14</v>
      </c>
      <c r="H198" t="s">
        <v>14</v>
      </c>
      <c r="I198" t="s">
        <v>89</v>
      </c>
      <c r="J198" t="s">
        <v>78</v>
      </c>
      <c r="K198" t="s">
        <v>33</v>
      </c>
      <c r="L198" t="s">
        <v>150</v>
      </c>
      <c r="M198" t="s">
        <v>112</v>
      </c>
      <c r="N198" t="s">
        <v>95</v>
      </c>
    </row>
    <row r="199" spans="1:14" x14ac:dyDescent="0.2">
      <c r="A199">
        <v>501221</v>
      </c>
      <c r="B199">
        <f>YEAR(#REF!)</f>
        <v>2011</v>
      </c>
      <c r="C199" t="s">
        <v>503</v>
      </c>
      <c r="D199" s="1">
        <v>40655</v>
      </c>
      <c r="E199" t="s">
        <v>24</v>
      </c>
      <c r="F199" t="s">
        <v>15</v>
      </c>
      <c r="H199" t="s">
        <v>15</v>
      </c>
      <c r="I199" t="s">
        <v>89</v>
      </c>
      <c r="J199" t="s">
        <v>78</v>
      </c>
      <c r="K199" t="s">
        <v>24</v>
      </c>
      <c r="L199" t="s">
        <v>101</v>
      </c>
      <c r="M199" t="s">
        <v>97</v>
      </c>
      <c r="N199" t="s">
        <v>92</v>
      </c>
    </row>
    <row r="200" spans="1:14" x14ac:dyDescent="0.2">
      <c r="A200">
        <v>501222</v>
      </c>
      <c r="B200">
        <f>YEAR(#REF!)</f>
        <v>2011</v>
      </c>
      <c r="C200" t="s">
        <v>503</v>
      </c>
      <c r="D200" s="1">
        <v>40655</v>
      </c>
      <c r="E200" t="s">
        <v>29</v>
      </c>
      <c r="F200" t="s">
        <v>20</v>
      </c>
      <c r="H200" t="s">
        <v>20</v>
      </c>
      <c r="I200" t="s">
        <v>89</v>
      </c>
      <c r="J200" t="s">
        <v>78</v>
      </c>
      <c r="K200" t="s">
        <v>20</v>
      </c>
      <c r="L200" t="s">
        <v>214</v>
      </c>
      <c r="M200" t="s">
        <v>134</v>
      </c>
      <c r="N200" t="s">
        <v>135</v>
      </c>
    </row>
    <row r="201" spans="1:14" x14ac:dyDescent="0.2">
      <c r="A201">
        <v>501223</v>
      </c>
      <c r="B201">
        <f>YEAR(#REF!)</f>
        <v>2011</v>
      </c>
      <c r="C201" t="s">
        <v>503</v>
      </c>
      <c r="D201" s="1">
        <v>40656</v>
      </c>
      <c r="E201" t="s">
        <v>76</v>
      </c>
      <c r="F201" t="s">
        <v>33</v>
      </c>
      <c r="H201" t="s">
        <v>33</v>
      </c>
      <c r="I201" t="s">
        <v>89</v>
      </c>
      <c r="J201" t="s">
        <v>78</v>
      </c>
      <c r="K201" t="s">
        <v>76</v>
      </c>
      <c r="L201" t="s">
        <v>80</v>
      </c>
      <c r="M201" t="s">
        <v>87</v>
      </c>
      <c r="N201" t="s">
        <v>88</v>
      </c>
    </row>
    <row r="202" spans="1:14" x14ac:dyDescent="0.2">
      <c r="A202">
        <v>501224</v>
      </c>
      <c r="B202">
        <f>YEAR(#REF!)</f>
        <v>2011</v>
      </c>
      <c r="C202" t="s">
        <v>503</v>
      </c>
      <c r="D202" s="1">
        <v>40657</v>
      </c>
      <c r="E202" t="s">
        <v>19</v>
      </c>
      <c r="F202" t="s">
        <v>24</v>
      </c>
      <c r="H202" t="s">
        <v>19</v>
      </c>
      <c r="I202" t="s">
        <v>89</v>
      </c>
      <c r="J202" t="s">
        <v>78</v>
      </c>
      <c r="K202" t="s">
        <v>24</v>
      </c>
      <c r="L202" t="s">
        <v>161</v>
      </c>
      <c r="M202" t="s">
        <v>164</v>
      </c>
      <c r="N202" t="s">
        <v>145</v>
      </c>
    </row>
    <row r="203" spans="1:14" x14ac:dyDescent="0.2">
      <c r="A203">
        <v>501225</v>
      </c>
      <c r="B203">
        <f>YEAR(#REF!)</f>
        <v>2011</v>
      </c>
      <c r="C203" t="s">
        <v>503</v>
      </c>
      <c r="D203" s="1">
        <v>40657</v>
      </c>
      <c r="E203" t="s">
        <v>14</v>
      </c>
      <c r="F203" t="s">
        <v>246</v>
      </c>
      <c r="H203" t="s">
        <v>14</v>
      </c>
      <c r="I203" t="s">
        <v>89</v>
      </c>
      <c r="J203" t="s">
        <v>78</v>
      </c>
      <c r="K203" t="s">
        <v>14</v>
      </c>
      <c r="L203" t="s">
        <v>312</v>
      </c>
      <c r="M203" t="s">
        <v>153</v>
      </c>
      <c r="N203" t="s">
        <v>85</v>
      </c>
    </row>
    <row r="204" spans="1:14" x14ac:dyDescent="0.2">
      <c r="A204">
        <v>501226</v>
      </c>
      <c r="B204">
        <f>YEAR(#REF!)</f>
        <v>2011</v>
      </c>
      <c r="C204" t="s">
        <v>503</v>
      </c>
      <c r="D204" s="1">
        <v>40658</v>
      </c>
      <c r="E204" t="s">
        <v>15</v>
      </c>
      <c r="F204" t="s">
        <v>160</v>
      </c>
      <c r="H204" t="s">
        <v>160</v>
      </c>
      <c r="I204" t="s">
        <v>89</v>
      </c>
      <c r="J204" t="s">
        <v>78</v>
      </c>
      <c r="K204" t="s">
        <v>15</v>
      </c>
      <c r="L204" t="s">
        <v>142</v>
      </c>
      <c r="M204" t="s">
        <v>120</v>
      </c>
      <c r="N204" t="s">
        <v>107</v>
      </c>
    </row>
    <row r="205" spans="1:14" x14ac:dyDescent="0.2">
      <c r="A205">
        <v>501227</v>
      </c>
      <c r="B205">
        <f>YEAR(#REF!)</f>
        <v>2011</v>
      </c>
      <c r="C205" t="s">
        <v>503</v>
      </c>
      <c r="D205" s="1">
        <v>40659</v>
      </c>
      <c r="E205" t="s">
        <v>76</v>
      </c>
      <c r="F205" t="s">
        <v>20</v>
      </c>
      <c r="H205" t="s">
        <v>20</v>
      </c>
      <c r="I205" t="s">
        <v>89</v>
      </c>
      <c r="J205" t="s">
        <v>78</v>
      </c>
      <c r="K205" t="s">
        <v>20</v>
      </c>
      <c r="L205" t="s">
        <v>257</v>
      </c>
      <c r="M205" t="s">
        <v>87</v>
      </c>
      <c r="N205" t="s">
        <v>88</v>
      </c>
    </row>
    <row r="206" spans="1:14" x14ac:dyDescent="0.2">
      <c r="A206">
        <v>501229</v>
      </c>
      <c r="B206">
        <f>YEAR(#REF!)</f>
        <v>2011</v>
      </c>
      <c r="C206" t="s">
        <v>503</v>
      </c>
      <c r="D206" s="1">
        <v>40660</v>
      </c>
      <c r="E206" t="s">
        <v>246</v>
      </c>
      <c r="F206" t="s">
        <v>19</v>
      </c>
      <c r="H206" t="s">
        <v>246</v>
      </c>
      <c r="I206" t="s">
        <v>89</v>
      </c>
      <c r="J206" t="s">
        <v>78</v>
      </c>
      <c r="K206" t="s">
        <v>19</v>
      </c>
      <c r="L206" t="s">
        <v>320</v>
      </c>
      <c r="M206" t="s">
        <v>358</v>
      </c>
      <c r="N206" t="s">
        <v>359</v>
      </c>
    </row>
    <row r="207" spans="1:14" x14ac:dyDescent="0.2">
      <c r="A207">
        <v>501228</v>
      </c>
      <c r="B207">
        <f>YEAR(#REF!)</f>
        <v>2011</v>
      </c>
      <c r="C207" t="s">
        <v>503</v>
      </c>
      <c r="D207" s="1">
        <v>40660</v>
      </c>
      <c r="E207" t="s">
        <v>160</v>
      </c>
      <c r="F207" t="s">
        <v>15</v>
      </c>
      <c r="H207" t="s">
        <v>160</v>
      </c>
      <c r="I207" t="s">
        <v>77</v>
      </c>
      <c r="J207" t="s">
        <v>78</v>
      </c>
      <c r="K207" t="s">
        <v>15</v>
      </c>
      <c r="L207" t="s">
        <v>308</v>
      </c>
      <c r="M207" t="s">
        <v>273</v>
      </c>
      <c r="N207" t="s">
        <v>92</v>
      </c>
    </row>
    <row r="208" spans="1:14" x14ac:dyDescent="0.2">
      <c r="A208">
        <v>501230</v>
      </c>
      <c r="B208">
        <f>YEAR(#REF!)</f>
        <v>2011</v>
      </c>
      <c r="C208" t="s">
        <v>503</v>
      </c>
      <c r="D208" s="1">
        <v>40661</v>
      </c>
      <c r="E208" t="s">
        <v>76</v>
      </c>
      <c r="F208" t="s">
        <v>29</v>
      </c>
      <c r="H208" t="s">
        <v>76</v>
      </c>
      <c r="I208" t="s">
        <v>89</v>
      </c>
      <c r="J208" t="s">
        <v>78</v>
      </c>
      <c r="K208" t="s">
        <v>29</v>
      </c>
      <c r="L208" t="s">
        <v>362</v>
      </c>
      <c r="M208" t="s">
        <v>87</v>
      </c>
      <c r="N208" t="s">
        <v>88</v>
      </c>
    </row>
    <row r="209" spans="1:14" x14ac:dyDescent="0.2">
      <c r="A209">
        <v>501231</v>
      </c>
      <c r="B209">
        <f>YEAR(#REF!)</f>
        <v>2011</v>
      </c>
      <c r="C209" t="s">
        <v>503</v>
      </c>
      <c r="D209" s="1">
        <v>40662</v>
      </c>
      <c r="E209" t="s">
        <v>14</v>
      </c>
      <c r="F209" t="s">
        <v>24</v>
      </c>
      <c r="H209" t="s">
        <v>14</v>
      </c>
      <c r="I209" t="s">
        <v>89</v>
      </c>
      <c r="J209" t="s">
        <v>78</v>
      </c>
      <c r="K209" t="s">
        <v>14</v>
      </c>
      <c r="L209" t="s">
        <v>229</v>
      </c>
      <c r="M209" t="s">
        <v>153</v>
      </c>
      <c r="N209" t="s">
        <v>85</v>
      </c>
    </row>
    <row r="210" spans="1:14" x14ac:dyDescent="0.2">
      <c r="A210">
        <v>501232</v>
      </c>
      <c r="B210">
        <f>YEAR(#REF!)</f>
        <v>2011</v>
      </c>
      <c r="C210" t="s">
        <v>503</v>
      </c>
      <c r="D210" s="1">
        <v>40662</v>
      </c>
      <c r="E210" t="s">
        <v>20</v>
      </c>
      <c r="F210" t="s">
        <v>160</v>
      </c>
      <c r="H210" t="s">
        <v>160</v>
      </c>
      <c r="I210" t="s">
        <v>89</v>
      </c>
      <c r="J210" t="s">
        <v>78</v>
      </c>
      <c r="K210" t="s">
        <v>20</v>
      </c>
      <c r="L210" t="s">
        <v>257</v>
      </c>
      <c r="M210" t="s">
        <v>196</v>
      </c>
      <c r="N210" t="s">
        <v>197</v>
      </c>
    </row>
    <row r="211" spans="1:14" x14ac:dyDescent="0.2">
      <c r="A211">
        <v>501234</v>
      </c>
      <c r="B211">
        <f>YEAR(#REF!)</f>
        <v>2011</v>
      </c>
      <c r="C211" t="s">
        <v>503</v>
      </c>
      <c r="D211" s="1">
        <v>40663</v>
      </c>
      <c r="E211" t="s">
        <v>29</v>
      </c>
      <c r="F211" t="s">
        <v>33</v>
      </c>
      <c r="H211" t="s">
        <v>29</v>
      </c>
      <c r="I211" t="s">
        <v>89</v>
      </c>
      <c r="J211" t="s">
        <v>78</v>
      </c>
      <c r="K211" t="s">
        <v>29</v>
      </c>
      <c r="L211" t="s">
        <v>303</v>
      </c>
      <c r="M211" t="s">
        <v>134</v>
      </c>
      <c r="N211" t="s">
        <v>135</v>
      </c>
    </row>
    <row r="212" spans="1:14" x14ac:dyDescent="0.2">
      <c r="A212">
        <v>501233</v>
      </c>
      <c r="B212">
        <f>YEAR(#REF!)</f>
        <v>2011</v>
      </c>
      <c r="C212" t="s">
        <v>503</v>
      </c>
      <c r="D212" s="1">
        <v>40663</v>
      </c>
      <c r="E212" t="s">
        <v>246</v>
      </c>
      <c r="F212" t="s">
        <v>76</v>
      </c>
      <c r="H212" t="s">
        <v>76</v>
      </c>
      <c r="I212" t="s">
        <v>77</v>
      </c>
      <c r="J212" t="s">
        <v>78</v>
      </c>
      <c r="K212" t="s">
        <v>76</v>
      </c>
      <c r="L212" t="s">
        <v>319</v>
      </c>
      <c r="M212" t="s">
        <v>358</v>
      </c>
      <c r="N212" t="s">
        <v>359</v>
      </c>
    </row>
    <row r="213" spans="1:14" x14ac:dyDescent="0.2">
      <c r="A213">
        <v>501236</v>
      </c>
      <c r="B213">
        <f>YEAR(#REF!)</f>
        <v>2011</v>
      </c>
      <c r="C213" t="s">
        <v>503</v>
      </c>
      <c r="D213" s="1">
        <v>40664</v>
      </c>
      <c r="E213" t="s">
        <v>15</v>
      </c>
      <c r="F213" t="s">
        <v>19</v>
      </c>
      <c r="H213" t="s">
        <v>15</v>
      </c>
      <c r="I213" t="s">
        <v>77</v>
      </c>
      <c r="J213" t="s">
        <v>78</v>
      </c>
      <c r="K213" t="s">
        <v>15</v>
      </c>
      <c r="L213" t="s">
        <v>347</v>
      </c>
      <c r="M213" t="s">
        <v>120</v>
      </c>
      <c r="N213" t="s">
        <v>107</v>
      </c>
    </row>
    <row r="214" spans="1:14" x14ac:dyDescent="0.2">
      <c r="A214">
        <v>501235</v>
      </c>
      <c r="B214">
        <f>YEAR(#REF!)</f>
        <v>2011</v>
      </c>
      <c r="C214" t="s">
        <v>503</v>
      </c>
      <c r="D214" s="1">
        <v>40664</v>
      </c>
      <c r="E214" t="s">
        <v>14</v>
      </c>
      <c r="F214" t="s">
        <v>160</v>
      </c>
      <c r="H214" t="s">
        <v>14</v>
      </c>
      <c r="I214" t="s">
        <v>89</v>
      </c>
      <c r="J214" t="s">
        <v>78</v>
      </c>
      <c r="K214" t="s">
        <v>14</v>
      </c>
      <c r="L214" t="s">
        <v>264</v>
      </c>
      <c r="M214" t="s">
        <v>153</v>
      </c>
      <c r="N214" t="s">
        <v>85</v>
      </c>
    </row>
    <row r="215" spans="1:14" x14ac:dyDescent="0.2">
      <c r="A215">
        <v>501237</v>
      </c>
      <c r="B215">
        <f>YEAR(#REF!)</f>
        <v>2011</v>
      </c>
      <c r="C215" t="s">
        <v>503</v>
      </c>
      <c r="D215" s="1">
        <v>40665</v>
      </c>
      <c r="E215" t="s">
        <v>24</v>
      </c>
      <c r="F215" t="s">
        <v>33</v>
      </c>
      <c r="H215" t="s">
        <v>33</v>
      </c>
      <c r="I215" t="s">
        <v>89</v>
      </c>
      <c r="J215" t="s">
        <v>78</v>
      </c>
      <c r="K215" t="s">
        <v>24</v>
      </c>
      <c r="L215" t="s">
        <v>123</v>
      </c>
      <c r="M215" t="s">
        <v>97</v>
      </c>
      <c r="N215" t="s">
        <v>92</v>
      </c>
    </row>
    <row r="216" spans="1:14" x14ac:dyDescent="0.2">
      <c r="A216">
        <v>501238</v>
      </c>
      <c r="B216">
        <f>YEAR(#REF!)</f>
        <v>2011</v>
      </c>
      <c r="C216" t="s">
        <v>503</v>
      </c>
      <c r="D216" s="1">
        <v>40665</v>
      </c>
      <c r="E216" t="s">
        <v>76</v>
      </c>
      <c r="F216" t="s">
        <v>246</v>
      </c>
      <c r="H216" t="s">
        <v>246</v>
      </c>
      <c r="I216" t="s">
        <v>89</v>
      </c>
      <c r="J216" t="s">
        <v>78</v>
      </c>
      <c r="K216" t="s">
        <v>246</v>
      </c>
      <c r="L216" t="s">
        <v>475</v>
      </c>
      <c r="M216" t="s">
        <v>87</v>
      </c>
      <c r="N216" t="s">
        <v>88</v>
      </c>
    </row>
    <row r="217" spans="1:14" x14ac:dyDescent="0.2">
      <c r="A217">
        <v>501239</v>
      </c>
      <c r="B217">
        <f>YEAR(#REF!)</f>
        <v>2011</v>
      </c>
      <c r="C217" t="s">
        <v>503</v>
      </c>
      <c r="D217" s="1">
        <v>40666</v>
      </c>
      <c r="E217" t="s">
        <v>19</v>
      </c>
      <c r="F217" t="s">
        <v>29</v>
      </c>
      <c r="H217" t="s">
        <v>19</v>
      </c>
      <c r="I217" t="s">
        <v>89</v>
      </c>
      <c r="J217" t="s">
        <v>78</v>
      </c>
      <c r="K217" t="s">
        <v>29</v>
      </c>
      <c r="L217" t="s">
        <v>199</v>
      </c>
      <c r="M217" t="s">
        <v>164</v>
      </c>
      <c r="N217" t="s">
        <v>145</v>
      </c>
    </row>
    <row r="218" spans="1:14" x14ac:dyDescent="0.2">
      <c r="A218">
        <v>501240</v>
      </c>
      <c r="B218">
        <f>YEAR(#REF!)</f>
        <v>2011</v>
      </c>
      <c r="C218" t="s">
        <v>503</v>
      </c>
      <c r="D218" s="1">
        <v>40667</v>
      </c>
      <c r="E218" t="s">
        <v>15</v>
      </c>
      <c r="F218" t="s">
        <v>14</v>
      </c>
      <c r="H218" t="s">
        <v>14</v>
      </c>
      <c r="I218" t="s">
        <v>77</v>
      </c>
      <c r="J218" t="s">
        <v>78</v>
      </c>
      <c r="K218" t="s">
        <v>15</v>
      </c>
      <c r="L218" t="s">
        <v>142</v>
      </c>
      <c r="M218" t="s">
        <v>120</v>
      </c>
      <c r="N218" t="s">
        <v>107</v>
      </c>
    </row>
    <row r="219" spans="1:14" x14ac:dyDescent="0.2">
      <c r="A219">
        <v>501241</v>
      </c>
      <c r="B219">
        <f>YEAR(#REF!)</f>
        <v>2011</v>
      </c>
      <c r="C219" t="s">
        <v>503</v>
      </c>
      <c r="D219" s="1">
        <v>40667</v>
      </c>
      <c r="E219" t="s">
        <v>160</v>
      </c>
      <c r="F219" t="s">
        <v>24</v>
      </c>
      <c r="H219" t="s">
        <v>160</v>
      </c>
      <c r="I219" t="s">
        <v>89</v>
      </c>
      <c r="J219" t="s">
        <v>78</v>
      </c>
      <c r="K219" t="s">
        <v>24</v>
      </c>
      <c r="L219" t="s">
        <v>481</v>
      </c>
      <c r="M219" t="s">
        <v>273</v>
      </c>
      <c r="N219" t="s">
        <v>92</v>
      </c>
    </row>
    <row r="220" spans="1:14" x14ac:dyDescent="0.2">
      <c r="A220">
        <v>501242</v>
      </c>
      <c r="B220">
        <f>YEAR(#REF!)</f>
        <v>2011</v>
      </c>
      <c r="C220" t="s">
        <v>503</v>
      </c>
      <c r="D220" s="1">
        <v>40668</v>
      </c>
      <c r="E220" t="s">
        <v>246</v>
      </c>
      <c r="F220" t="s">
        <v>29</v>
      </c>
      <c r="H220" t="s">
        <v>29</v>
      </c>
      <c r="I220" t="s">
        <v>89</v>
      </c>
      <c r="J220" t="s">
        <v>78</v>
      </c>
      <c r="K220" t="s">
        <v>246</v>
      </c>
      <c r="L220" t="s">
        <v>384</v>
      </c>
      <c r="M220" t="s">
        <v>358</v>
      </c>
      <c r="N220" t="s">
        <v>359</v>
      </c>
    </row>
    <row r="221" spans="1:14" x14ac:dyDescent="0.2">
      <c r="A221">
        <v>501243</v>
      </c>
      <c r="B221">
        <f>YEAR(#REF!)</f>
        <v>2011</v>
      </c>
      <c r="C221" t="s">
        <v>503</v>
      </c>
      <c r="D221" s="1">
        <v>40668</v>
      </c>
      <c r="E221" t="s">
        <v>19</v>
      </c>
      <c r="F221" t="s">
        <v>76</v>
      </c>
      <c r="H221" t="s">
        <v>76</v>
      </c>
      <c r="I221" t="s">
        <v>89</v>
      </c>
      <c r="J221" t="s">
        <v>78</v>
      </c>
      <c r="K221" t="s">
        <v>76</v>
      </c>
      <c r="L221" t="s">
        <v>319</v>
      </c>
      <c r="M221" t="s">
        <v>164</v>
      </c>
      <c r="N221" t="s">
        <v>145</v>
      </c>
    </row>
    <row r="222" spans="1:14" x14ac:dyDescent="0.2">
      <c r="A222">
        <v>501244</v>
      </c>
      <c r="B222">
        <f>YEAR(#REF!)</f>
        <v>2011</v>
      </c>
      <c r="C222" t="s">
        <v>503</v>
      </c>
      <c r="D222" s="1">
        <v>40669</v>
      </c>
      <c r="E222" t="s">
        <v>20</v>
      </c>
      <c r="F222" t="s">
        <v>33</v>
      </c>
      <c r="H222" t="s">
        <v>33</v>
      </c>
      <c r="I222" t="s">
        <v>89</v>
      </c>
      <c r="J222" t="s">
        <v>78</v>
      </c>
      <c r="K222" t="s">
        <v>20</v>
      </c>
      <c r="L222" t="s">
        <v>214</v>
      </c>
      <c r="M222" t="s">
        <v>196</v>
      </c>
      <c r="N222" t="s">
        <v>197</v>
      </c>
    </row>
    <row r="223" spans="1:14" x14ac:dyDescent="0.2">
      <c r="A223">
        <v>501245</v>
      </c>
      <c r="B223">
        <f>YEAR(#REF!)</f>
        <v>2011</v>
      </c>
      <c r="C223" t="s">
        <v>503</v>
      </c>
      <c r="D223" s="1">
        <v>40670</v>
      </c>
      <c r="E223" t="s">
        <v>29</v>
      </c>
      <c r="F223" t="s">
        <v>15</v>
      </c>
      <c r="H223" t="s">
        <v>15</v>
      </c>
      <c r="I223" t="s">
        <v>77</v>
      </c>
      <c r="J223" t="s">
        <v>78</v>
      </c>
      <c r="K223" t="s">
        <v>29</v>
      </c>
      <c r="L223" t="s">
        <v>303</v>
      </c>
      <c r="M223" t="s">
        <v>134</v>
      </c>
      <c r="N223" t="s">
        <v>135</v>
      </c>
    </row>
    <row r="224" spans="1:14" x14ac:dyDescent="0.2">
      <c r="A224">
        <v>501246</v>
      </c>
      <c r="B224">
        <f>YEAR(#REF!)</f>
        <v>2011</v>
      </c>
      <c r="C224" t="s">
        <v>503</v>
      </c>
      <c r="D224" s="1">
        <v>40670</v>
      </c>
      <c r="E224" t="s">
        <v>24</v>
      </c>
      <c r="F224" t="s">
        <v>76</v>
      </c>
      <c r="H224" t="s">
        <v>76</v>
      </c>
      <c r="I224" t="s">
        <v>89</v>
      </c>
      <c r="J224" t="s">
        <v>78</v>
      </c>
      <c r="K224" t="s">
        <v>24</v>
      </c>
      <c r="L224" t="s">
        <v>231</v>
      </c>
      <c r="M224" t="s">
        <v>97</v>
      </c>
      <c r="N224" t="s">
        <v>92</v>
      </c>
    </row>
    <row r="225" spans="1:14" x14ac:dyDescent="0.2">
      <c r="A225">
        <v>501247</v>
      </c>
      <c r="B225">
        <f>YEAR(#REF!)</f>
        <v>2011</v>
      </c>
      <c r="C225" t="s">
        <v>503</v>
      </c>
      <c r="D225" s="1">
        <v>40671</v>
      </c>
      <c r="E225" t="s">
        <v>20</v>
      </c>
      <c r="F225" t="s">
        <v>246</v>
      </c>
      <c r="H225" t="s">
        <v>246</v>
      </c>
      <c r="I225" t="s">
        <v>77</v>
      </c>
      <c r="J225" t="s">
        <v>78</v>
      </c>
      <c r="K225" t="s">
        <v>20</v>
      </c>
      <c r="L225" t="s">
        <v>214</v>
      </c>
      <c r="M225" t="s">
        <v>196</v>
      </c>
      <c r="N225" t="s">
        <v>197</v>
      </c>
    </row>
    <row r="226" spans="1:14" x14ac:dyDescent="0.2">
      <c r="A226">
        <v>501248</v>
      </c>
      <c r="B226">
        <f>YEAR(#REF!)</f>
        <v>2011</v>
      </c>
      <c r="C226" t="s">
        <v>503</v>
      </c>
      <c r="D226" s="1">
        <v>40671</v>
      </c>
      <c r="E226" t="s">
        <v>33</v>
      </c>
      <c r="F226" t="s">
        <v>160</v>
      </c>
      <c r="H226" t="s">
        <v>33</v>
      </c>
      <c r="I226" t="s">
        <v>77</v>
      </c>
      <c r="J226" t="s">
        <v>78</v>
      </c>
      <c r="K226" t="s">
        <v>160</v>
      </c>
      <c r="L226" t="s">
        <v>481</v>
      </c>
      <c r="M226" t="s">
        <v>112</v>
      </c>
      <c r="N226" t="s">
        <v>95</v>
      </c>
    </row>
    <row r="227" spans="1:14" x14ac:dyDescent="0.2">
      <c r="A227">
        <v>501249</v>
      </c>
      <c r="B227">
        <f>YEAR(#REF!)</f>
        <v>2011</v>
      </c>
      <c r="C227" t="s">
        <v>503</v>
      </c>
      <c r="D227" s="1">
        <v>40672</v>
      </c>
      <c r="E227" t="s">
        <v>14</v>
      </c>
      <c r="F227" t="s">
        <v>15</v>
      </c>
      <c r="H227" t="s">
        <v>14</v>
      </c>
      <c r="I227" t="s">
        <v>89</v>
      </c>
      <c r="J227" t="s">
        <v>78</v>
      </c>
      <c r="K227" t="s">
        <v>15</v>
      </c>
      <c r="L227" t="s">
        <v>205</v>
      </c>
      <c r="M227" t="s">
        <v>153</v>
      </c>
      <c r="N227" t="s">
        <v>85</v>
      </c>
    </row>
    <row r="228" spans="1:14" x14ac:dyDescent="0.2">
      <c r="A228">
        <v>501251</v>
      </c>
      <c r="B228">
        <f>YEAR(#REF!)</f>
        <v>2011</v>
      </c>
      <c r="C228" t="s">
        <v>503</v>
      </c>
      <c r="D228" s="1">
        <v>40673</v>
      </c>
      <c r="E228" t="s">
        <v>33</v>
      </c>
      <c r="F228" t="s">
        <v>24</v>
      </c>
      <c r="H228" t="s">
        <v>24</v>
      </c>
      <c r="I228" t="s">
        <v>89</v>
      </c>
      <c r="J228" t="s">
        <v>78</v>
      </c>
      <c r="K228" t="s">
        <v>33</v>
      </c>
      <c r="L228" t="s">
        <v>146</v>
      </c>
      <c r="M228" t="s">
        <v>112</v>
      </c>
      <c r="N228" t="s">
        <v>95</v>
      </c>
    </row>
    <row r="229" spans="1:14" x14ac:dyDescent="0.2">
      <c r="A229">
        <v>501250</v>
      </c>
      <c r="B229">
        <f>YEAR(#REF!)</f>
        <v>2011</v>
      </c>
      <c r="C229" t="s">
        <v>503</v>
      </c>
      <c r="D229" s="1">
        <v>40673</v>
      </c>
      <c r="E229" t="s">
        <v>19</v>
      </c>
      <c r="F229" t="s">
        <v>160</v>
      </c>
      <c r="H229" t="s">
        <v>19</v>
      </c>
      <c r="I229" t="s">
        <v>77</v>
      </c>
      <c r="J229" t="s">
        <v>78</v>
      </c>
      <c r="K229" t="s">
        <v>160</v>
      </c>
      <c r="L229" t="s">
        <v>346</v>
      </c>
      <c r="M229" t="s">
        <v>164</v>
      </c>
      <c r="N229" t="s">
        <v>145</v>
      </c>
    </row>
    <row r="230" spans="1:14" x14ac:dyDescent="0.2">
      <c r="A230">
        <v>501252</v>
      </c>
      <c r="B230">
        <f>YEAR(#REF!)</f>
        <v>2011</v>
      </c>
      <c r="C230" t="s">
        <v>503</v>
      </c>
      <c r="D230" s="1">
        <v>40674</v>
      </c>
      <c r="E230" t="s">
        <v>14</v>
      </c>
      <c r="F230" t="s">
        <v>20</v>
      </c>
      <c r="H230" t="s">
        <v>20</v>
      </c>
      <c r="I230" t="s">
        <v>89</v>
      </c>
      <c r="J230" t="s">
        <v>78</v>
      </c>
      <c r="K230" t="s">
        <v>20</v>
      </c>
      <c r="L230" t="s">
        <v>416</v>
      </c>
      <c r="M230" t="s">
        <v>153</v>
      </c>
      <c r="N230" t="s">
        <v>85</v>
      </c>
    </row>
    <row r="231" spans="1:14" x14ac:dyDescent="0.2">
      <c r="A231">
        <v>501253</v>
      </c>
      <c r="B231">
        <f>YEAR(#REF!)</f>
        <v>2011</v>
      </c>
      <c r="C231" t="s">
        <v>503</v>
      </c>
      <c r="D231" s="1">
        <v>40675</v>
      </c>
      <c r="E231" t="s">
        <v>15</v>
      </c>
      <c r="F231" t="s">
        <v>76</v>
      </c>
      <c r="H231" t="s">
        <v>15</v>
      </c>
      <c r="I231" t="s">
        <v>77</v>
      </c>
      <c r="J231" t="s">
        <v>78</v>
      </c>
      <c r="K231" t="s">
        <v>15</v>
      </c>
      <c r="L231" t="s">
        <v>119</v>
      </c>
      <c r="M231" t="s">
        <v>120</v>
      </c>
      <c r="N231" t="s">
        <v>107</v>
      </c>
    </row>
    <row r="232" spans="1:14" x14ac:dyDescent="0.2">
      <c r="A232">
        <v>501254</v>
      </c>
      <c r="B232">
        <f>YEAR(#REF!)</f>
        <v>2011</v>
      </c>
      <c r="C232" t="s">
        <v>503</v>
      </c>
      <c r="D232" s="1">
        <v>40676</v>
      </c>
      <c r="E232" t="s">
        <v>246</v>
      </c>
      <c r="F232" t="s">
        <v>33</v>
      </c>
      <c r="H232" t="s">
        <v>33</v>
      </c>
      <c r="I232" t="s">
        <v>89</v>
      </c>
      <c r="J232" t="s">
        <v>78</v>
      </c>
      <c r="K232" t="s">
        <v>33</v>
      </c>
      <c r="L232" t="s">
        <v>102</v>
      </c>
      <c r="M232" t="s">
        <v>304</v>
      </c>
      <c r="N232" t="s">
        <v>305</v>
      </c>
    </row>
    <row r="233" spans="1:14" x14ac:dyDescent="0.2">
      <c r="A233">
        <v>501255</v>
      </c>
      <c r="B233">
        <f>YEAR(#REF!)</f>
        <v>2011</v>
      </c>
      <c r="C233" t="s">
        <v>503</v>
      </c>
      <c r="D233" s="1">
        <v>40677</v>
      </c>
      <c r="E233" t="s">
        <v>20</v>
      </c>
      <c r="F233" t="s">
        <v>29</v>
      </c>
      <c r="H233" t="s">
        <v>20</v>
      </c>
      <c r="I233" t="s">
        <v>89</v>
      </c>
      <c r="J233" t="s">
        <v>78</v>
      </c>
      <c r="K233" t="s">
        <v>20</v>
      </c>
      <c r="L233" t="s">
        <v>214</v>
      </c>
      <c r="M233" t="s">
        <v>196</v>
      </c>
      <c r="N233" t="s">
        <v>197</v>
      </c>
    </row>
    <row r="234" spans="1:14" x14ac:dyDescent="0.2">
      <c r="A234">
        <v>501256</v>
      </c>
      <c r="B234">
        <f>YEAR(#REF!)</f>
        <v>2011</v>
      </c>
      <c r="C234" t="s">
        <v>503</v>
      </c>
      <c r="D234" s="1">
        <v>40677</v>
      </c>
      <c r="E234" t="s">
        <v>24</v>
      </c>
      <c r="F234" t="s">
        <v>19</v>
      </c>
      <c r="H234" t="s">
        <v>19</v>
      </c>
      <c r="I234" t="s">
        <v>77</v>
      </c>
      <c r="J234" t="s">
        <v>78</v>
      </c>
      <c r="K234" t="s">
        <v>19</v>
      </c>
      <c r="L234" t="s">
        <v>151</v>
      </c>
      <c r="M234" t="s">
        <v>97</v>
      </c>
      <c r="N234" t="s">
        <v>92</v>
      </c>
    </row>
    <row r="235" spans="1:14" x14ac:dyDescent="0.2">
      <c r="A235">
        <v>501258</v>
      </c>
      <c r="B235">
        <f>YEAR(#REF!)</f>
        <v>2011</v>
      </c>
      <c r="C235" t="s">
        <v>503</v>
      </c>
      <c r="D235" s="1">
        <v>40678</v>
      </c>
      <c r="E235" t="s">
        <v>246</v>
      </c>
      <c r="F235" t="s">
        <v>14</v>
      </c>
      <c r="H235" t="s">
        <v>246</v>
      </c>
      <c r="I235" t="s">
        <v>89</v>
      </c>
      <c r="J235" t="s">
        <v>78</v>
      </c>
      <c r="K235" t="s">
        <v>246</v>
      </c>
      <c r="L235" t="s">
        <v>384</v>
      </c>
      <c r="M235" t="s">
        <v>304</v>
      </c>
      <c r="N235" t="s">
        <v>305</v>
      </c>
    </row>
    <row r="236" spans="1:14" x14ac:dyDescent="0.2">
      <c r="A236">
        <v>501257</v>
      </c>
      <c r="B236">
        <f>YEAR(#REF!)</f>
        <v>2011</v>
      </c>
      <c r="C236" t="s">
        <v>503</v>
      </c>
      <c r="D236" s="1">
        <v>40678</v>
      </c>
      <c r="E236" t="s">
        <v>33</v>
      </c>
      <c r="F236" t="s">
        <v>76</v>
      </c>
      <c r="H236" t="s">
        <v>76</v>
      </c>
      <c r="I236" t="s">
        <v>89</v>
      </c>
      <c r="J236" t="s">
        <v>78</v>
      </c>
      <c r="K236" t="s">
        <v>33</v>
      </c>
      <c r="L236" t="s">
        <v>177</v>
      </c>
      <c r="M236" t="s">
        <v>175</v>
      </c>
      <c r="N236" t="s">
        <v>176</v>
      </c>
    </row>
    <row r="237" spans="1:14" x14ac:dyDescent="0.2">
      <c r="A237">
        <v>501259</v>
      </c>
      <c r="B237">
        <f>YEAR(#REF!)</f>
        <v>2011</v>
      </c>
      <c r="C237" t="s">
        <v>503</v>
      </c>
      <c r="D237" s="1">
        <v>40679</v>
      </c>
      <c r="E237" t="s">
        <v>160</v>
      </c>
      <c r="F237" t="s">
        <v>19</v>
      </c>
      <c r="H237" t="s">
        <v>19</v>
      </c>
      <c r="I237" t="s">
        <v>89</v>
      </c>
      <c r="J237" t="s">
        <v>78</v>
      </c>
      <c r="K237" t="s">
        <v>19</v>
      </c>
      <c r="L237" t="s">
        <v>151</v>
      </c>
      <c r="M237" t="s">
        <v>273</v>
      </c>
      <c r="N237" t="s">
        <v>92</v>
      </c>
    </row>
    <row r="238" spans="1:14" x14ac:dyDescent="0.2">
      <c r="A238">
        <v>501260</v>
      </c>
      <c r="B238">
        <f>YEAR(#REF!)</f>
        <v>2011</v>
      </c>
      <c r="C238" t="s">
        <v>503</v>
      </c>
      <c r="D238" s="1">
        <v>40680</v>
      </c>
      <c r="E238" t="s">
        <v>33</v>
      </c>
      <c r="F238" t="s">
        <v>20</v>
      </c>
      <c r="H238" t="s">
        <v>33</v>
      </c>
      <c r="I238" t="s">
        <v>77</v>
      </c>
      <c r="J238" t="s">
        <v>78</v>
      </c>
      <c r="K238" t="s">
        <v>33</v>
      </c>
      <c r="L238" t="s">
        <v>174</v>
      </c>
      <c r="M238" t="s">
        <v>175</v>
      </c>
      <c r="N238" t="s">
        <v>176</v>
      </c>
    </row>
    <row r="239" spans="1:14" x14ac:dyDescent="0.2">
      <c r="A239">
        <v>501261</v>
      </c>
      <c r="B239">
        <f>YEAR(#REF!)</f>
        <v>2011</v>
      </c>
      <c r="C239" t="s">
        <v>503</v>
      </c>
      <c r="D239" s="1">
        <v>40681</v>
      </c>
      <c r="E239" t="s">
        <v>15</v>
      </c>
      <c r="F239" t="s">
        <v>246</v>
      </c>
      <c r="H239" t="s">
        <v>15</v>
      </c>
      <c r="I239" t="s">
        <v>77</v>
      </c>
      <c r="J239" t="s">
        <v>78</v>
      </c>
      <c r="K239" t="s">
        <v>15</v>
      </c>
      <c r="L239" t="s">
        <v>330</v>
      </c>
      <c r="M239" t="s">
        <v>120</v>
      </c>
      <c r="N239" t="s">
        <v>107</v>
      </c>
    </row>
    <row r="240" spans="1:14" x14ac:dyDescent="0.2">
      <c r="A240">
        <v>501262</v>
      </c>
      <c r="B240">
        <f>YEAR(#REF!)</f>
        <v>2011</v>
      </c>
      <c r="C240" t="s">
        <v>503</v>
      </c>
      <c r="D240" s="1">
        <v>40682</v>
      </c>
      <c r="E240" t="s">
        <v>160</v>
      </c>
      <c r="F240" t="s">
        <v>29</v>
      </c>
      <c r="H240" t="s">
        <v>29</v>
      </c>
      <c r="I240" t="s">
        <v>89</v>
      </c>
      <c r="J240" t="s">
        <v>78</v>
      </c>
      <c r="K240" t="s">
        <v>29</v>
      </c>
      <c r="L240" t="s">
        <v>199</v>
      </c>
      <c r="M240" t="s">
        <v>273</v>
      </c>
      <c r="N240" t="s">
        <v>92</v>
      </c>
    </row>
    <row r="241" spans="1:14" x14ac:dyDescent="0.2">
      <c r="A241">
        <v>501263</v>
      </c>
      <c r="B241">
        <f>YEAR(#REF!)</f>
        <v>2011</v>
      </c>
      <c r="C241" t="s">
        <v>503</v>
      </c>
      <c r="D241" s="1">
        <v>40683</v>
      </c>
      <c r="E241" t="s">
        <v>24</v>
      </c>
      <c r="F241" t="s">
        <v>14</v>
      </c>
      <c r="H241" t="s">
        <v>24</v>
      </c>
      <c r="I241" t="s">
        <v>77</v>
      </c>
      <c r="J241" t="s">
        <v>78</v>
      </c>
      <c r="K241" t="s">
        <v>14</v>
      </c>
      <c r="L241" t="s">
        <v>166</v>
      </c>
      <c r="M241" t="s">
        <v>97</v>
      </c>
      <c r="N241" t="s">
        <v>92</v>
      </c>
    </row>
    <row r="242" spans="1:14" x14ac:dyDescent="0.2">
      <c r="A242">
        <v>501265</v>
      </c>
      <c r="B242">
        <f>YEAR(#REF!)</f>
        <v>2011</v>
      </c>
      <c r="C242" t="s">
        <v>503</v>
      </c>
      <c r="D242" s="1">
        <v>40684</v>
      </c>
      <c r="E242" t="s">
        <v>76</v>
      </c>
      <c r="F242" t="s">
        <v>160</v>
      </c>
      <c r="H242" t="s">
        <v>76</v>
      </c>
      <c r="I242" t="s">
        <v>77</v>
      </c>
      <c r="J242" t="s">
        <v>180</v>
      </c>
      <c r="K242" t="s">
        <v>79</v>
      </c>
      <c r="L242" t="s">
        <v>181</v>
      </c>
      <c r="M242" t="s">
        <v>87</v>
      </c>
      <c r="N242" t="s">
        <v>88</v>
      </c>
    </row>
    <row r="243" spans="1:14" x14ac:dyDescent="0.2">
      <c r="A243">
        <v>501264</v>
      </c>
      <c r="B243">
        <f>YEAR(#REF!)</f>
        <v>2011</v>
      </c>
      <c r="C243" t="s">
        <v>503</v>
      </c>
      <c r="D243" s="1">
        <v>40684</v>
      </c>
      <c r="E243" t="s">
        <v>33</v>
      </c>
      <c r="F243" t="s">
        <v>19</v>
      </c>
      <c r="H243" t="s">
        <v>33</v>
      </c>
      <c r="I243" t="s">
        <v>89</v>
      </c>
      <c r="J243" t="s">
        <v>78</v>
      </c>
      <c r="K243" t="s">
        <v>19</v>
      </c>
      <c r="L243" t="s">
        <v>90</v>
      </c>
      <c r="M243" t="s">
        <v>175</v>
      </c>
      <c r="N243" t="s">
        <v>176</v>
      </c>
    </row>
    <row r="244" spans="1:14" x14ac:dyDescent="0.2">
      <c r="A244">
        <v>501266</v>
      </c>
      <c r="B244">
        <f>YEAR(#REF!)</f>
        <v>2011</v>
      </c>
      <c r="C244" t="s">
        <v>503</v>
      </c>
      <c r="D244" s="1">
        <v>40685</v>
      </c>
      <c r="E244" t="s">
        <v>20</v>
      </c>
      <c r="F244" t="s">
        <v>15</v>
      </c>
      <c r="H244" t="s">
        <v>20</v>
      </c>
      <c r="I244" t="s">
        <v>89</v>
      </c>
      <c r="J244" t="s">
        <v>78</v>
      </c>
      <c r="K244" t="s">
        <v>20</v>
      </c>
      <c r="L244" t="s">
        <v>214</v>
      </c>
      <c r="M244" t="s">
        <v>196</v>
      </c>
      <c r="N244" t="s">
        <v>197</v>
      </c>
    </row>
    <row r="245" spans="1:14" x14ac:dyDescent="0.2">
      <c r="A245">
        <v>501267</v>
      </c>
      <c r="B245">
        <f>YEAR(#REF!)</f>
        <v>2011</v>
      </c>
      <c r="C245" t="s">
        <v>503</v>
      </c>
      <c r="D245" s="1">
        <v>40685</v>
      </c>
      <c r="E245" t="s">
        <v>29</v>
      </c>
      <c r="F245" t="s">
        <v>24</v>
      </c>
      <c r="H245" t="s">
        <v>24</v>
      </c>
      <c r="I245" t="s">
        <v>89</v>
      </c>
      <c r="J245" t="s">
        <v>78</v>
      </c>
      <c r="K245" t="s">
        <v>24</v>
      </c>
      <c r="L245" t="s">
        <v>367</v>
      </c>
      <c r="M245" t="s">
        <v>134</v>
      </c>
      <c r="N245" t="s">
        <v>135</v>
      </c>
    </row>
    <row r="246" spans="1:14" x14ac:dyDescent="0.2">
      <c r="A246">
        <v>501268</v>
      </c>
      <c r="B246">
        <f>YEAR(#REF!)</f>
        <v>2011</v>
      </c>
      <c r="C246" t="s">
        <v>503</v>
      </c>
      <c r="D246" s="1">
        <v>40687</v>
      </c>
      <c r="E246" t="s">
        <v>20</v>
      </c>
      <c r="F246" t="s">
        <v>15</v>
      </c>
      <c r="H246" t="s">
        <v>15</v>
      </c>
      <c r="I246" t="s">
        <v>89</v>
      </c>
      <c r="J246" t="s">
        <v>78</v>
      </c>
      <c r="K246" t="s">
        <v>15</v>
      </c>
      <c r="L246" t="s">
        <v>259</v>
      </c>
      <c r="M246" t="s">
        <v>97</v>
      </c>
      <c r="N246" t="s">
        <v>92</v>
      </c>
    </row>
    <row r="247" spans="1:14" x14ac:dyDescent="0.2">
      <c r="A247">
        <v>501269</v>
      </c>
      <c r="B247">
        <f>YEAR(#REF!)</f>
        <v>2011</v>
      </c>
      <c r="C247" t="s">
        <v>503</v>
      </c>
      <c r="D247" s="1">
        <v>40688</v>
      </c>
      <c r="E247" t="s">
        <v>24</v>
      </c>
      <c r="F247" t="s">
        <v>29</v>
      </c>
      <c r="H247" t="s">
        <v>24</v>
      </c>
      <c r="I247" t="s">
        <v>89</v>
      </c>
      <c r="J247" t="s">
        <v>78</v>
      </c>
      <c r="K247" t="s">
        <v>24</v>
      </c>
      <c r="L247" t="s">
        <v>441</v>
      </c>
      <c r="M247" t="s">
        <v>97</v>
      </c>
      <c r="N247" t="s">
        <v>92</v>
      </c>
    </row>
    <row r="248" spans="1:14" x14ac:dyDescent="0.2">
      <c r="A248">
        <v>501270</v>
      </c>
      <c r="B248">
        <f>YEAR(#REF!)</f>
        <v>2011</v>
      </c>
      <c r="C248" t="s">
        <v>503</v>
      </c>
      <c r="D248" s="1">
        <v>40690</v>
      </c>
      <c r="E248" t="s">
        <v>20</v>
      </c>
      <c r="F248" t="s">
        <v>24</v>
      </c>
      <c r="H248" t="s">
        <v>24</v>
      </c>
      <c r="I248" t="s">
        <v>89</v>
      </c>
      <c r="J248" t="s">
        <v>78</v>
      </c>
      <c r="K248" t="s">
        <v>20</v>
      </c>
      <c r="L248" t="s">
        <v>214</v>
      </c>
      <c r="M248" t="s">
        <v>120</v>
      </c>
      <c r="N248" t="s">
        <v>107</v>
      </c>
    </row>
    <row r="249" spans="1:14" x14ac:dyDescent="0.2">
      <c r="A249">
        <v>501271</v>
      </c>
      <c r="B249">
        <f>YEAR(#REF!)</f>
        <v>2011</v>
      </c>
      <c r="C249" t="s">
        <v>503</v>
      </c>
      <c r="D249" s="1">
        <v>40691</v>
      </c>
      <c r="E249" t="s">
        <v>15</v>
      </c>
      <c r="F249" t="s">
        <v>20</v>
      </c>
      <c r="H249" t="s">
        <v>15</v>
      </c>
      <c r="I249" t="s">
        <v>77</v>
      </c>
      <c r="J249" t="s">
        <v>78</v>
      </c>
      <c r="K249" t="s">
        <v>15</v>
      </c>
      <c r="L249" t="s">
        <v>205</v>
      </c>
      <c r="M249" t="s">
        <v>120</v>
      </c>
      <c r="N249" t="s">
        <v>107</v>
      </c>
    </row>
    <row r="250" spans="1:14" x14ac:dyDescent="0.2">
      <c r="A250">
        <v>548306</v>
      </c>
      <c r="B250">
        <f>YEAR(#REF!)</f>
        <v>2012</v>
      </c>
      <c r="C250" t="s">
        <v>504</v>
      </c>
      <c r="D250" s="1">
        <v>41003</v>
      </c>
      <c r="E250" t="s">
        <v>15</v>
      </c>
      <c r="F250" t="s">
        <v>24</v>
      </c>
      <c r="H250" t="s">
        <v>24</v>
      </c>
      <c r="I250" t="s">
        <v>89</v>
      </c>
      <c r="J250" t="s">
        <v>78</v>
      </c>
      <c r="K250" t="s">
        <v>24</v>
      </c>
      <c r="L250" t="s">
        <v>457</v>
      </c>
      <c r="M250" t="s">
        <v>120</v>
      </c>
      <c r="N250" t="s">
        <v>107</v>
      </c>
    </row>
    <row r="251" spans="1:14" x14ac:dyDescent="0.2">
      <c r="A251">
        <v>548307</v>
      </c>
      <c r="B251">
        <f>YEAR(#REF!)</f>
        <v>2012</v>
      </c>
      <c r="C251" t="s">
        <v>504</v>
      </c>
      <c r="D251" s="1">
        <v>41004</v>
      </c>
      <c r="E251" t="s">
        <v>29</v>
      </c>
      <c r="F251" t="s">
        <v>76</v>
      </c>
      <c r="H251" t="s">
        <v>76</v>
      </c>
      <c r="I251" t="s">
        <v>89</v>
      </c>
      <c r="J251" t="s">
        <v>78</v>
      </c>
      <c r="K251" t="s">
        <v>76</v>
      </c>
      <c r="L251" t="s">
        <v>447</v>
      </c>
      <c r="M251" t="s">
        <v>134</v>
      </c>
      <c r="N251" t="s">
        <v>135</v>
      </c>
    </row>
    <row r="252" spans="1:14" x14ac:dyDescent="0.2">
      <c r="A252">
        <v>548309</v>
      </c>
      <c r="B252">
        <f>YEAR(#REF!)</f>
        <v>2012</v>
      </c>
      <c r="C252" t="s">
        <v>504</v>
      </c>
      <c r="D252" s="1">
        <v>41005</v>
      </c>
      <c r="E252" t="s">
        <v>14</v>
      </c>
      <c r="F252" t="s">
        <v>33</v>
      </c>
      <c r="H252" t="s">
        <v>33</v>
      </c>
      <c r="I252" t="s">
        <v>89</v>
      </c>
      <c r="J252" t="s">
        <v>78</v>
      </c>
      <c r="K252" t="s">
        <v>14</v>
      </c>
      <c r="L252" t="s">
        <v>263</v>
      </c>
      <c r="M252" t="s">
        <v>153</v>
      </c>
      <c r="N252" t="s">
        <v>85</v>
      </c>
    </row>
    <row r="253" spans="1:14" x14ac:dyDescent="0.2">
      <c r="A253">
        <v>548308</v>
      </c>
      <c r="B253">
        <f>YEAR(#REF!)</f>
        <v>2012</v>
      </c>
      <c r="C253" t="s">
        <v>504</v>
      </c>
      <c r="D253" s="1">
        <v>41005</v>
      </c>
      <c r="E253" t="s">
        <v>24</v>
      </c>
      <c r="F253" t="s">
        <v>160</v>
      </c>
      <c r="H253" t="s">
        <v>24</v>
      </c>
      <c r="I253" t="s">
        <v>89</v>
      </c>
      <c r="J253" t="s">
        <v>78</v>
      </c>
      <c r="K253" t="s">
        <v>160</v>
      </c>
      <c r="L253" t="s">
        <v>237</v>
      </c>
      <c r="M253" t="s">
        <v>97</v>
      </c>
      <c r="N253" t="s">
        <v>92</v>
      </c>
    </row>
    <row r="254" spans="1:14" x14ac:dyDescent="0.2">
      <c r="A254">
        <v>548311</v>
      </c>
      <c r="B254">
        <f>YEAR(#REF!)</f>
        <v>2012</v>
      </c>
      <c r="C254" t="s">
        <v>504</v>
      </c>
      <c r="D254" s="1">
        <v>41006</v>
      </c>
      <c r="E254" t="s">
        <v>19</v>
      </c>
      <c r="F254" t="s">
        <v>15</v>
      </c>
      <c r="H254" t="s">
        <v>19</v>
      </c>
      <c r="I254" t="s">
        <v>89</v>
      </c>
      <c r="J254" t="s">
        <v>78</v>
      </c>
      <c r="K254" t="s">
        <v>15</v>
      </c>
      <c r="L254" t="s">
        <v>179</v>
      </c>
      <c r="M254" t="s">
        <v>126</v>
      </c>
      <c r="N254" t="s">
        <v>127</v>
      </c>
    </row>
    <row r="255" spans="1:14" x14ac:dyDescent="0.2">
      <c r="A255">
        <v>548310</v>
      </c>
      <c r="B255">
        <f>YEAR(#REF!)</f>
        <v>2012</v>
      </c>
      <c r="C255" t="s">
        <v>504</v>
      </c>
      <c r="D255" s="1">
        <v>41006</v>
      </c>
      <c r="E255" t="s">
        <v>20</v>
      </c>
      <c r="F255" t="s">
        <v>76</v>
      </c>
      <c r="H255" t="s">
        <v>76</v>
      </c>
      <c r="I255" t="s">
        <v>89</v>
      </c>
      <c r="J255" t="s">
        <v>78</v>
      </c>
      <c r="K255" t="s">
        <v>20</v>
      </c>
      <c r="L255" t="s">
        <v>38</v>
      </c>
      <c r="M255" t="s">
        <v>196</v>
      </c>
      <c r="N255" t="s">
        <v>197</v>
      </c>
    </row>
    <row r="256" spans="1:14" x14ac:dyDescent="0.2">
      <c r="A256">
        <v>548313</v>
      </c>
      <c r="B256">
        <f>YEAR(#REF!)</f>
        <v>2012</v>
      </c>
      <c r="C256" t="s">
        <v>504</v>
      </c>
      <c r="D256" s="1">
        <v>41007</v>
      </c>
      <c r="E256" t="s">
        <v>160</v>
      </c>
      <c r="F256" t="s">
        <v>33</v>
      </c>
      <c r="H256" t="s">
        <v>160</v>
      </c>
      <c r="I256" t="s">
        <v>77</v>
      </c>
      <c r="J256" t="s">
        <v>78</v>
      </c>
      <c r="K256" t="s">
        <v>160</v>
      </c>
      <c r="L256" t="s">
        <v>462</v>
      </c>
      <c r="M256" t="s">
        <v>162</v>
      </c>
      <c r="N256" t="s">
        <v>163</v>
      </c>
    </row>
    <row r="257" spans="1:14" x14ac:dyDescent="0.2">
      <c r="A257">
        <v>548312</v>
      </c>
      <c r="B257">
        <f>YEAR(#REF!)</f>
        <v>2012</v>
      </c>
      <c r="C257" t="s">
        <v>504</v>
      </c>
      <c r="D257" s="1">
        <v>41007</v>
      </c>
      <c r="E257" t="s">
        <v>14</v>
      </c>
      <c r="F257" t="s">
        <v>29</v>
      </c>
      <c r="H257" t="s">
        <v>29</v>
      </c>
      <c r="I257" t="s">
        <v>89</v>
      </c>
      <c r="J257" t="s">
        <v>78</v>
      </c>
      <c r="K257" t="s">
        <v>14</v>
      </c>
      <c r="L257" t="s">
        <v>384</v>
      </c>
      <c r="M257" t="s">
        <v>153</v>
      </c>
      <c r="N257" t="s">
        <v>85</v>
      </c>
    </row>
    <row r="258" spans="1:14" x14ac:dyDescent="0.2">
      <c r="A258">
        <v>548314</v>
      </c>
      <c r="B258">
        <f>YEAR(#REF!)</f>
        <v>2012</v>
      </c>
      <c r="C258" t="s">
        <v>504</v>
      </c>
      <c r="D258" s="1">
        <v>41008</v>
      </c>
      <c r="E258" t="s">
        <v>19</v>
      </c>
      <c r="F258" t="s">
        <v>24</v>
      </c>
      <c r="H258" t="s">
        <v>19</v>
      </c>
      <c r="I258" t="s">
        <v>77</v>
      </c>
      <c r="J258" t="s">
        <v>78</v>
      </c>
      <c r="K258" t="s">
        <v>24</v>
      </c>
      <c r="L258" t="s">
        <v>96</v>
      </c>
      <c r="M258" t="s">
        <v>126</v>
      </c>
      <c r="N258" t="s">
        <v>127</v>
      </c>
    </row>
    <row r="259" spans="1:14" x14ac:dyDescent="0.2">
      <c r="A259">
        <v>548316</v>
      </c>
      <c r="B259">
        <f>YEAR(#REF!)</f>
        <v>2012</v>
      </c>
      <c r="C259" t="s">
        <v>504</v>
      </c>
      <c r="D259" s="1">
        <v>41009</v>
      </c>
      <c r="E259" t="s">
        <v>76</v>
      </c>
      <c r="F259" t="s">
        <v>15</v>
      </c>
      <c r="H259" t="s">
        <v>76</v>
      </c>
      <c r="I259" t="s">
        <v>89</v>
      </c>
      <c r="J259" t="s">
        <v>78</v>
      </c>
      <c r="K259" t="s">
        <v>76</v>
      </c>
      <c r="L259" t="s">
        <v>238</v>
      </c>
      <c r="M259" t="s">
        <v>87</v>
      </c>
      <c r="N259" t="s">
        <v>88</v>
      </c>
    </row>
    <row r="260" spans="1:14" x14ac:dyDescent="0.2">
      <c r="A260">
        <v>548315</v>
      </c>
      <c r="B260">
        <f>YEAR(#REF!)</f>
        <v>2012</v>
      </c>
      <c r="C260" t="s">
        <v>504</v>
      </c>
      <c r="D260" s="1">
        <v>41009</v>
      </c>
      <c r="E260" t="s">
        <v>20</v>
      </c>
      <c r="F260" t="s">
        <v>29</v>
      </c>
      <c r="H260" t="s">
        <v>20</v>
      </c>
      <c r="I260" t="s">
        <v>89</v>
      </c>
      <c r="J260" t="s">
        <v>78</v>
      </c>
      <c r="K260" t="s">
        <v>29</v>
      </c>
      <c r="L260" t="s">
        <v>448</v>
      </c>
      <c r="M260" t="s">
        <v>196</v>
      </c>
      <c r="N260" t="s">
        <v>197</v>
      </c>
    </row>
    <row r="261" spans="1:14" x14ac:dyDescent="0.2">
      <c r="A261">
        <v>548317</v>
      </c>
      <c r="B261">
        <f>YEAR(#REF!)</f>
        <v>2012</v>
      </c>
      <c r="C261" t="s">
        <v>504</v>
      </c>
      <c r="D261" s="1">
        <v>41010</v>
      </c>
      <c r="E261" t="s">
        <v>24</v>
      </c>
      <c r="F261" t="s">
        <v>14</v>
      </c>
      <c r="H261" t="s">
        <v>14</v>
      </c>
      <c r="I261" t="s">
        <v>89</v>
      </c>
      <c r="J261" t="s">
        <v>78</v>
      </c>
      <c r="K261" t="s">
        <v>24</v>
      </c>
      <c r="L261" t="s">
        <v>123</v>
      </c>
      <c r="M261" t="s">
        <v>97</v>
      </c>
      <c r="N261" t="s">
        <v>92</v>
      </c>
    </row>
    <row r="262" spans="1:14" x14ac:dyDescent="0.2">
      <c r="A262">
        <v>548319</v>
      </c>
      <c r="B262">
        <f>YEAR(#REF!)</f>
        <v>2012</v>
      </c>
      <c r="C262" t="s">
        <v>504</v>
      </c>
      <c r="D262" s="1">
        <v>41011</v>
      </c>
      <c r="E262" t="s">
        <v>33</v>
      </c>
      <c r="F262" t="s">
        <v>160</v>
      </c>
      <c r="H262" t="s">
        <v>33</v>
      </c>
      <c r="I262" t="s">
        <v>89</v>
      </c>
      <c r="J262" t="s">
        <v>78</v>
      </c>
      <c r="K262" t="s">
        <v>33</v>
      </c>
      <c r="L262" t="s">
        <v>233</v>
      </c>
      <c r="M262" t="s">
        <v>112</v>
      </c>
      <c r="N262" t="s">
        <v>95</v>
      </c>
    </row>
    <row r="263" spans="1:14" x14ac:dyDescent="0.2">
      <c r="A263">
        <v>548318</v>
      </c>
      <c r="B263">
        <f>YEAR(#REF!)</f>
        <v>2012</v>
      </c>
      <c r="C263" t="s">
        <v>504</v>
      </c>
      <c r="D263" s="1">
        <v>41011</v>
      </c>
      <c r="E263" t="s">
        <v>15</v>
      </c>
      <c r="F263" t="s">
        <v>20</v>
      </c>
      <c r="H263" t="s">
        <v>20</v>
      </c>
      <c r="I263" t="s">
        <v>77</v>
      </c>
      <c r="J263" t="s">
        <v>78</v>
      </c>
      <c r="K263" t="s">
        <v>15</v>
      </c>
      <c r="L263" t="s">
        <v>189</v>
      </c>
      <c r="M263" t="s">
        <v>120</v>
      </c>
      <c r="N263" t="s">
        <v>107</v>
      </c>
    </row>
    <row r="264" spans="1:14" x14ac:dyDescent="0.2">
      <c r="A264">
        <v>548320</v>
      </c>
      <c r="B264">
        <f>YEAR(#REF!)</f>
        <v>2012</v>
      </c>
      <c r="C264" t="s">
        <v>504</v>
      </c>
      <c r="D264" s="1">
        <v>41012</v>
      </c>
      <c r="E264" t="s">
        <v>29</v>
      </c>
      <c r="F264" t="s">
        <v>14</v>
      </c>
      <c r="H264" t="s">
        <v>14</v>
      </c>
      <c r="I264" t="s">
        <v>77</v>
      </c>
      <c r="J264" t="s">
        <v>78</v>
      </c>
      <c r="K264" t="s">
        <v>29</v>
      </c>
      <c r="L264" t="s">
        <v>483</v>
      </c>
      <c r="M264" t="s">
        <v>134</v>
      </c>
      <c r="N264" t="s">
        <v>135</v>
      </c>
    </row>
    <row r="265" spans="1:14" x14ac:dyDescent="0.2">
      <c r="A265">
        <v>548322</v>
      </c>
      <c r="B265">
        <f>YEAR(#REF!)</f>
        <v>2012</v>
      </c>
      <c r="C265" t="s">
        <v>504</v>
      </c>
      <c r="D265" s="1">
        <v>41013</v>
      </c>
      <c r="E265" t="s">
        <v>160</v>
      </c>
      <c r="F265" t="s">
        <v>15</v>
      </c>
      <c r="H265" t="s">
        <v>15</v>
      </c>
      <c r="I265" t="s">
        <v>77</v>
      </c>
      <c r="J265" t="s">
        <v>78</v>
      </c>
      <c r="K265" t="s">
        <v>160</v>
      </c>
      <c r="L265" t="s">
        <v>400</v>
      </c>
      <c r="M265" t="s">
        <v>162</v>
      </c>
      <c r="N265" t="s">
        <v>163</v>
      </c>
    </row>
    <row r="266" spans="1:14" x14ac:dyDescent="0.2">
      <c r="A266">
        <v>548323</v>
      </c>
      <c r="B266">
        <f>YEAR(#REF!)</f>
        <v>2012</v>
      </c>
      <c r="C266" t="s">
        <v>504</v>
      </c>
      <c r="D266" s="1">
        <v>41014</v>
      </c>
      <c r="E266" t="s">
        <v>29</v>
      </c>
      <c r="F266" t="s">
        <v>33</v>
      </c>
      <c r="H266" t="s">
        <v>29</v>
      </c>
      <c r="I266" t="s">
        <v>89</v>
      </c>
      <c r="J266" t="s">
        <v>78</v>
      </c>
      <c r="K266" t="s">
        <v>33</v>
      </c>
      <c r="L266" t="s">
        <v>133</v>
      </c>
      <c r="M266" t="s">
        <v>134</v>
      </c>
      <c r="N266" t="s">
        <v>135</v>
      </c>
    </row>
    <row r="267" spans="1:14" x14ac:dyDescent="0.2">
      <c r="A267">
        <v>548324</v>
      </c>
      <c r="B267">
        <f>YEAR(#REF!)</f>
        <v>2012</v>
      </c>
      <c r="C267" t="s">
        <v>504</v>
      </c>
      <c r="D267" s="1">
        <v>41014</v>
      </c>
      <c r="E267" t="s">
        <v>20</v>
      </c>
      <c r="F267" t="s">
        <v>14</v>
      </c>
      <c r="H267" t="s">
        <v>14</v>
      </c>
      <c r="I267" t="s">
        <v>77</v>
      </c>
      <c r="J267" t="s">
        <v>78</v>
      </c>
      <c r="K267" t="s">
        <v>14</v>
      </c>
      <c r="L267" t="s">
        <v>263</v>
      </c>
      <c r="M267" t="s">
        <v>196</v>
      </c>
      <c r="N267" t="s">
        <v>197</v>
      </c>
    </row>
    <row r="268" spans="1:14" x14ac:dyDescent="0.2">
      <c r="A268">
        <v>548325</v>
      </c>
      <c r="B268">
        <f>YEAR(#REF!)</f>
        <v>2012</v>
      </c>
      <c r="C268" t="s">
        <v>504</v>
      </c>
      <c r="D268" s="1">
        <v>41015</v>
      </c>
      <c r="E268" t="s">
        <v>24</v>
      </c>
      <c r="F268" t="s">
        <v>76</v>
      </c>
      <c r="H268" t="s">
        <v>76</v>
      </c>
      <c r="I268" t="s">
        <v>89</v>
      </c>
      <c r="J268" t="s">
        <v>78</v>
      </c>
      <c r="K268" t="s">
        <v>76</v>
      </c>
      <c r="L268" t="s">
        <v>371</v>
      </c>
      <c r="M268" t="s">
        <v>97</v>
      </c>
      <c r="N268" t="s">
        <v>92</v>
      </c>
    </row>
    <row r="269" spans="1:14" x14ac:dyDescent="0.2">
      <c r="A269">
        <v>548327</v>
      </c>
      <c r="B269">
        <f>YEAR(#REF!)</f>
        <v>2012</v>
      </c>
      <c r="C269" t="s">
        <v>504</v>
      </c>
      <c r="D269" s="1">
        <v>41016</v>
      </c>
      <c r="E269" t="s">
        <v>20</v>
      </c>
      <c r="F269" t="s">
        <v>160</v>
      </c>
      <c r="H269" t="s">
        <v>160</v>
      </c>
      <c r="I269" t="s">
        <v>77</v>
      </c>
      <c r="J269" t="s">
        <v>78</v>
      </c>
      <c r="K269" t="s">
        <v>20</v>
      </c>
      <c r="L269" t="s">
        <v>214</v>
      </c>
      <c r="M269" t="s">
        <v>196</v>
      </c>
      <c r="N269" t="s">
        <v>197</v>
      </c>
    </row>
    <row r="270" spans="1:14" x14ac:dyDescent="0.2">
      <c r="A270">
        <v>548326</v>
      </c>
      <c r="B270">
        <f>YEAR(#REF!)</f>
        <v>2012</v>
      </c>
      <c r="C270" t="s">
        <v>504</v>
      </c>
      <c r="D270" s="1">
        <v>41016</v>
      </c>
      <c r="E270" t="s">
        <v>14</v>
      </c>
      <c r="F270" t="s">
        <v>19</v>
      </c>
      <c r="H270" t="s">
        <v>19</v>
      </c>
      <c r="I270" t="s">
        <v>77</v>
      </c>
      <c r="J270" t="s">
        <v>78</v>
      </c>
      <c r="K270" t="s">
        <v>14</v>
      </c>
      <c r="L270" t="s">
        <v>384</v>
      </c>
      <c r="M270" t="s">
        <v>153</v>
      </c>
      <c r="N270" t="s">
        <v>85</v>
      </c>
    </row>
    <row r="271" spans="1:14" x14ac:dyDescent="0.2">
      <c r="A271">
        <v>548328</v>
      </c>
      <c r="B271">
        <f>YEAR(#REF!)</f>
        <v>2012</v>
      </c>
      <c r="C271" t="s">
        <v>504</v>
      </c>
      <c r="D271" s="1">
        <v>41017</v>
      </c>
      <c r="E271" t="s">
        <v>33</v>
      </c>
      <c r="F271" t="s">
        <v>29</v>
      </c>
      <c r="H271" t="s">
        <v>33</v>
      </c>
      <c r="I271" t="s">
        <v>77</v>
      </c>
      <c r="J271" t="s">
        <v>78</v>
      </c>
      <c r="K271" t="s">
        <v>29</v>
      </c>
      <c r="L271" t="s">
        <v>141</v>
      </c>
      <c r="M271" t="s">
        <v>112</v>
      </c>
      <c r="N271" t="s">
        <v>95</v>
      </c>
    </row>
    <row r="272" spans="1:14" x14ac:dyDescent="0.2">
      <c r="A272">
        <v>548321</v>
      </c>
      <c r="B272">
        <f>YEAR(#REF!)</f>
        <v>2012</v>
      </c>
      <c r="C272" t="s">
        <v>504</v>
      </c>
      <c r="D272" s="1">
        <v>41018</v>
      </c>
      <c r="E272" t="s">
        <v>76</v>
      </c>
      <c r="F272" t="s">
        <v>19</v>
      </c>
      <c r="H272" t="s">
        <v>19</v>
      </c>
      <c r="I272" t="s">
        <v>77</v>
      </c>
      <c r="J272" t="s">
        <v>78</v>
      </c>
      <c r="K272" t="s">
        <v>76</v>
      </c>
      <c r="L272" t="s">
        <v>152</v>
      </c>
      <c r="M272" t="s">
        <v>87</v>
      </c>
      <c r="N272" t="s">
        <v>88</v>
      </c>
    </row>
    <row r="273" spans="1:14" x14ac:dyDescent="0.2">
      <c r="A273">
        <v>548330</v>
      </c>
      <c r="B273">
        <f>YEAR(#REF!)</f>
        <v>2012</v>
      </c>
      <c r="C273" t="s">
        <v>504</v>
      </c>
      <c r="D273" s="1">
        <v>41018</v>
      </c>
      <c r="E273" t="s">
        <v>15</v>
      </c>
      <c r="F273" t="s">
        <v>160</v>
      </c>
      <c r="H273" t="s">
        <v>160</v>
      </c>
      <c r="I273" t="s">
        <v>89</v>
      </c>
      <c r="J273" t="s">
        <v>78</v>
      </c>
      <c r="K273" t="s">
        <v>15</v>
      </c>
      <c r="L273" t="s">
        <v>444</v>
      </c>
      <c r="M273" t="s">
        <v>120</v>
      </c>
      <c r="N273" t="s">
        <v>107</v>
      </c>
    </row>
    <row r="274" spans="1:14" x14ac:dyDescent="0.2">
      <c r="A274">
        <v>548331</v>
      </c>
      <c r="B274">
        <f>YEAR(#REF!)</f>
        <v>2012</v>
      </c>
      <c r="C274" t="s">
        <v>504</v>
      </c>
      <c r="D274" s="1">
        <v>41019</v>
      </c>
      <c r="E274" t="s">
        <v>33</v>
      </c>
      <c r="F274" t="s">
        <v>20</v>
      </c>
      <c r="H274" t="s">
        <v>20</v>
      </c>
      <c r="I274" t="s">
        <v>89</v>
      </c>
      <c r="J274" t="s">
        <v>78</v>
      </c>
      <c r="K274" t="s">
        <v>20</v>
      </c>
      <c r="L274" t="s">
        <v>214</v>
      </c>
      <c r="M274" t="s">
        <v>112</v>
      </c>
      <c r="N274" t="s">
        <v>95</v>
      </c>
    </row>
    <row r="275" spans="1:14" x14ac:dyDescent="0.2">
      <c r="A275">
        <v>548332</v>
      </c>
      <c r="B275">
        <f>YEAR(#REF!)</f>
        <v>2012</v>
      </c>
      <c r="C275" t="s">
        <v>504</v>
      </c>
      <c r="D275" s="1">
        <v>41020</v>
      </c>
      <c r="E275" t="s">
        <v>15</v>
      </c>
      <c r="F275" t="s">
        <v>14</v>
      </c>
      <c r="H275" t="s">
        <v>14</v>
      </c>
      <c r="I275" t="s">
        <v>77</v>
      </c>
      <c r="J275" t="s">
        <v>78</v>
      </c>
      <c r="K275" t="s">
        <v>15</v>
      </c>
      <c r="L275" t="s">
        <v>189</v>
      </c>
      <c r="M275" t="s">
        <v>120</v>
      </c>
      <c r="N275" t="s">
        <v>107</v>
      </c>
    </row>
    <row r="276" spans="1:14" x14ac:dyDescent="0.2">
      <c r="A276">
        <v>548333</v>
      </c>
      <c r="B276">
        <f>YEAR(#REF!)</f>
        <v>2012</v>
      </c>
      <c r="C276" t="s">
        <v>504</v>
      </c>
      <c r="D276" s="1">
        <v>41020</v>
      </c>
      <c r="E276" t="s">
        <v>76</v>
      </c>
      <c r="F276" t="s">
        <v>160</v>
      </c>
      <c r="H276" t="s">
        <v>76</v>
      </c>
      <c r="I276" t="s">
        <v>89</v>
      </c>
      <c r="J276" t="s">
        <v>78</v>
      </c>
      <c r="K276" t="s">
        <v>160</v>
      </c>
      <c r="L276" t="s">
        <v>311</v>
      </c>
      <c r="M276" t="s">
        <v>87</v>
      </c>
      <c r="N276" t="s">
        <v>88</v>
      </c>
    </row>
    <row r="277" spans="1:14" x14ac:dyDescent="0.2">
      <c r="A277">
        <v>548334</v>
      </c>
      <c r="B277">
        <f>YEAR(#REF!)</f>
        <v>2012</v>
      </c>
      <c r="C277" t="s">
        <v>504</v>
      </c>
      <c r="D277" s="1">
        <v>41021</v>
      </c>
      <c r="E277" t="s">
        <v>24</v>
      </c>
      <c r="F277" t="s">
        <v>33</v>
      </c>
      <c r="H277" t="s">
        <v>24</v>
      </c>
      <c r="I277" t="s">
        <v>77</v>
      </c>
      <c r="J277" t="s">
        <v>78</v>
      </c>
      <c r="K277" t="s">
        <v>33</v>
      </c>
      <c r="L277" t="s">
        <v>150</v>
      </c>
      <c r="M277" t="s">
        <v>97</v>
      </c>
      <c r="N277" t="s">
        <v>92</v>
      </c>
    </row>
    <row r="278" spans="1:14" x14ac:dyDescent="0.2">
      <c r="A278">
        <v>548335</v>
      </c>
      <c r="B278">
        <f>YEAR(#REF!)</f>
        <v>2012</v>
      </c>
      <c r="C278" t="s">
        <v>504</v>
      </c>
      <c r="D278" s="1">
        <v>41021</v>
      </c>
      <c r="E278" t="s">
        <v>19</v>
      </c>
      <c r="F278" t="s">
        <v>29</v>
      </c>
      <c r="H278" t="s">
        <v>29</v>
      </c>
      <c r="I278" t="s">
        <v>89</v>
      </c>
      <c r="J278" t="s">
        <v>78</v>
      </c>
      <c r="K278" t="s">
        <v>29</v>
      </c>
      <c r="L278" t="s">
        <v>372</v>
      </c>
      <c r="M278" t="s">
        <v>331</v>
      </c>
      <c r="N278" t="s">
        <v>332</v>
      </c>
    </row>
    <row r="279" spans="1:14" x14ac:dyDescent="0.2">
      <c r="A279">
        <v>548336</v>
      </c>
      <c r="B279">
        <f>YEAR(#REF!)</f>
        <v>2012</v>
      </c>
      <c r="C279" t="s">
        <v>504</v>
      </c>
      <c r="D279" s="1">
        <v>41022</v>
      </c>
      <c r="E279" t="s">
        <v>14</v>
      </c>
      <c r="F279" t="s">
        <v>20</v>
      </c>
      <c r="H279" t="s">
        <v>14</v>
      </c>
      <c r="I279" t="s">
        <v>89</v>
      </c>
      <c r="J279" t="s">
        <v>78</v>
      </c>
      <c r="K279" t="s">
        <v>20</v>
      </c>
      <c r="L279" t="s">
        <v>38</v>
      </c>
      <c r="M279" t="s">
        <v>153</v>
      </c>
      <c r="N279" t="s">
        <v>85</v>
      </c>
    </row>
    <row r="280" spans="1:14" x14ac:dyDescent="0.2">
      <c r="A280">
        <v>548337</v>
      </c>
      <c r="B280">
        <f>YEAR(#REF!)</f>
        <v>2012</v>
      </c>
      <c r="C280" t="s">
        <v>504</v>
      </c>
      <c r="D280" s="1">
        <v>41023</v>
      </c>
      <c r="E280" t="s">
        <v>160</v>
      </c>
      <c r="F280" t="s">
        <v>76</v>
      </c>
      <c r="H280" t="s">
        <v>160</v>
      </c>
      <c r="I280" t="s">
        <v>77</v>
      </c>
      <c r="J280" t="s">
        <v>78</v>
      </c>
      <c r="K280" t="s">
        <v>76</v>
      </c>
      <c r="L280" t="s">
        <v>319</v>
      </c>
      <c r="M280" t="s">
        <v>162</v>
      </c>
      <c r="N280" t="s">
        <v>163</v>
      </c>
    </row>
    <row r="281" spans="1:14" x14ac:dyDescent="0.2">
      <c r="A281">
        <v>548339</v>
      </c>
      <c r="B281">
        <f>YEAR(#REF!)</f>
        <v>2012</v>
      </c>
      <c r="C281" t="s">
        <v>504</v>
      </c>
      <c r="D281" s="1">
        <v>41024</v>
      </c>
      <c r="E281" t="s">
        <v>33</v>
      </c>
      <c r="F281" t="s">
        <v>24</v>
      </c>
      <c r="H281" t="s">
        <v>33</v>
      </c>
      <c r="I281" t="s">
        <v>77</v>
      </c>
      <c r="J281" t="s">
        <v>78</v>
      </c>
      <c r="K281" t="s">
        <v>24</v>
      </c>
      <c r="L281" t="s">
        <v>231</v>
      </c>
      <c r="M281" t="s">
        <v>112</v>
      </c>
      <c r="N281" t="s">
        <v>95</v>
      </c>
    </row>
    <row r="282" spans="1:14" x14ac:dyDescent="0.2">
      <c r="A282">
        <v>548341</v>
      </c>
      <c r="B282">
        <f>YEAR(#REF!)</f>
        <v>2012</v>
      </c>
      <c r="C282" t="s">
        <v>504</v>
      </c>
      <c r="D282" s="1">
        <v>41025</v>
      </c>
      <c r="E282" t="s">
        <v>160</v>
      </c>
      <c r="F282" t="s">
        <v>19</v>
      </c>
      <c r="H282" t="s">
        <v>19</v>
      </c>
      <c r="I282" t="s">
        <v>77</v>
      </c>
      <c r="J282" t="s">
        <v>78</v>
      </c>
      <c r="K282" t="s">
        <v>19</v>
      </c>
      <c r="L282" t="s">
        <v>426</v>
      </c>
      <c r="M282" t="s">
        <v>162</v>
      </c>
      <c r="N282" t="s">
        <v>163</v>
      </c>
    </row>
    <row r="283" spans="1:14" x14ac:dyDescent="0.2">
      <c r="A283">
        <v>548342</v>
      </c>
      <c r="B283">
        <f>YEAR(#REF!)</f>
        <v>2012</v>
      </c>
      <c r="C283" t="s">
        <v>504</v>
      </c>
      <c r="D283" s="1">
        <v>41026</v>
      </c>
      <c r="E283" t="s">
        <v>76</v>
      </c>
      <c r="F283" t="s">
        <v>24</v>
      </c>
      <c r="H283" t="s">
        <v>24</v>
      </c>
      <c r="I283" t="s">
        <v>89</v>
      </c>
      <c r="J283" t="s">
        <v>78</v>
      </c>
      <c r="K283" t="s">
        <v>76</v>
      </c>
      <c r="L283" t="s">
        <v>319</v>
      </c>
      <c r="M283" t="s">
        <v>87</v>
      </c>
      <c r="N283" t="s">
        <v>88</v>
      </c>
    </row>
    <row r="284" spans="1:14" x14ac:dyDescent="0.2">
      <c r="A284">
        <v>548344</v>
      </c>
      <c r="B284">
        <f>YEAR(#REF!)</f>
        <v>2012</v>
      </c>
      <c r="C284" t="s">
        <v>504</v>
      </c>
      <c r="D284" s="1">
        <v>41027</v>
      </c>
      <c r="E284" t="s">
        <v>29</v>
      </c>
      <c r="F284" t="s">
        <v>20</v>
      </c>
      <c r="H284" t="s">
        <v>29</v>
      </c>
      <c r="I284" t="s">
        <v>77</v>
      </c>
      <c r="J284" t="s">
        <v>78</v>
      </c>
      <c r="K284" t="s">
        <v>29</v>
      </c>
      <c r="L284" t="s">
        <v>141</v>
      </c>
      <c r="M284" t="s">
        <v>134</v>
      </c>
      <c r="N284" t="s">
        <v>135</v>
      </c>
    </row>
    <row r="285" spans="1:14" x14ac:dyDescent="0.2">
      <c r="A285">
        <v>548343</v>
      </c>
      <c r="B285">
        <f>YEAR(#REF!)</f>
        <v>2012</v>
      </c>
      <c r="C285" t="s">
        <v>504</v>
      </c>
      <c r="D285" s="1">
        <v>41027</v>
      </c>
      <c r="E285" t="s">
        <v>15</v>
      </c>
      <c r="F285" t="s">
        <v>33</v>
      </c>
      <c r="H285" t="s">
        <v>33</v>
      </c>
      <c r="I285" t="s">
        <v>77</v>
      </c>
      <c r="J285" t="s">
        <v>78</v>
      </c>
      <c r="K285" t="s">
        <v>33</v>
      </c>
      <c r="L285" t="s">
        <v>440</v>
      </c>
      <c r="M285" t="s">
        <v>120</v>
      </c>
      <c r="N285" t="s">
        <v>107</v>
      </c>
    </row>
    <row r="286" spans="1:14" x14ac:dyDescent="0.2">
      <c r="A286">
        <v>548345</v>
      </c>
      <c r="B286">
        <f>YEAR(#REF!)</f>
        <v>2012</v>
      </c>
      <c r="C286" t="s">
        <v>504</v>
      </c>
      <c r="D286" s="1">
        <v>41028</v>
      </c>
      <c r="E286" t="s">
        <v>76</v>
      </c>
      <c r="F286" t="s">
        <v>14</v>
      </c>
      <c r="H286" t="s">
        <v>76</v>
      </c>
      <c r="I286" t="s">
        <v>77</v>
      </c>
      <c r="J286" t="s">
        <v>78</v>
      </c>
      <c r="K286" t="s">
        <v>76</v>
      </c>
      <c r="L286" t="s">
        <v>319</v>
      </c>
      <c r="M286" t="s">
        <v>87</v>
      </c>
      <c r="N286" t="s">
        <v>88</v>
      </c>
    </row>
    <row r="287" spans="1:14" x14ac:dyDescent="0.2">
      <c r="A287">
        <v>548346</v>
      </c>
      <c r="B287">
        <f>YEAR(#REF!)</f>
        <v>2012</v>
      </c>
      <c r="C287" t="s">
        <v>504</v>
      </c>
      <c r="D287" s="1">
        <v>41028</v>
      </c>
      <c r="E287" t="s">
        <v>24</v>
      </c>
      <c r="F287" t="s">
        <v>19</v>
      </c>
      <c r="H287" t="s">
        <v>24</v>
      </c>
      <c r="I287" t="s">
        <v>89</v>
      </c>
      <c r="J287" t="s">
        <v>78</v>
      </c>
      <c r="K287" t="s">
        <v>24</v>
      </c>
      <c r="L287" t="s">
        <v>342</v>
      </c>
      <c r="M287" t="s">
        <v>97</v>
      </c>
      <c r="N287" t="s">
        <v>92</v>
      </c>
    </row>
    <row r="288" spans="1:14" x14ac:dyDescent="0.2">
      <c r="A288">
        <v>548347</v>
      </c>
      <c r="B288">
        <f>YEAR(#REF!)</f>
        <v>2012</v>
      </c>
      <c r="C288" t="s">
        <v>504</v>
      </c>
      <c r="D288" s="1">
        <v>41029</v>
      </c>
      <c r="E288" t="s">
        <v>15</v>
      </c>
      <c r="F288" t="s">
        <v>29</v>
      </c>
      <c r="H288" t="s">
        <v>15</v>
      </c>
      <c r="I288" t="s">
        <v>77</v>
      </c>
      <c r="J288" t="s">
        <v>78</v>
      </c>
      <c r="K288" t="s">
        <v>29</v>
      </c>
      <c r="L288" t="s">
        <v>141</v>
      </c>
      <c r="M288" t="s">
        <v>120</v>
      </c>
      <c r="N288" t="s">
        <v>107</v>
      </c>
    </row>
    <row r="289" spans="1:14" x14ac:dyDescent="0.2">
      <c r="A289">
        <v>548348</v>
      </c>
      <c r="B289">
        <f>YEAR(#REF!)</f>
        <v>2012</v>
      </c>
      <c r="C289" t="s">
        <v>504</v>
      </c>
      <c r="D289" s="1">
        <v>41030</v>
      </c>
      <c r="E289" t="s">
        <v>19</v>
      </c>
      <c r="F289" t="s">
        <v>160</v>
      </c>
      <c r="H289" t="s">
        <v>19</v>
      </c>
      <c r="I289" t="s">
        <v>77</v>
      </c>
      <c r="J289" t="s">
        <v>78</v>
      </c>
      <c r="K289" t="s">
        <v>19</v>
      </c>
      <c r="L289" t="s">
        <v>208</v>
      </c>
      <c r="M289" t="s">
        <v>331</v>
      </c>
      <c r="N289" t="s">
        <v>332</v>
      </c>
    </row>
    <row r="290" spans="1:14" x14ac:dyDescent="0.2">
      <c r="A290">
        <v>548349</v>
      </c>
      <c r="B290">
        <f>YEAR(#REF!)</f>
        <v>2012</v>
      </c>
      <c r="C290" t="s">
        <v>504</v>
      </c>
      <c r="D290" s="1">
        <v>41030</v>
      </c>
      <c r="E290" t="s">
        <v>14</v>
      </c>
      <c r="F290" t="s">
        <v>76</v>
      </c>
      <c r="H290" t="s">
        <v>14</v>
      </c>
      <c r="I290" t="s">
        <v>77</v>
      </c>
      <c r="J290" t="s">
        <v>78</v>
      </c>
      <c r="K290" t="s">
        <v>76</v>
      </c>
      <c r="L290" t="s">
        <v>217</v>
      </c>
      <c r="M290" t="s">
        <v>153</v>
      </c>
      <c r="N290" t="s">
        <v>85</v>
      </c>
    </row>
    <row r="291" spans="1:14" x14ac:dyDescent="0.2">
      <c r="A291">
        <v>548350</v>
      </c>
      <c r="B291">
        <f>YEAR(#REF!)</f>
        <v>2012</v>
      </c>
      <c r="C291" t="s">
        <v>504</v>
      </c>
      <c r="D291" s="1">
        <v>41031</v>
      </c>
      <c r="E291" t="s">
        <v>20</v>
      </c>
      <c r="F291" t="s">
        <v>33</v>
      </c>
      <c r="H291" t="s">
        <v>33</v>
      </c>
      <c r="I291" t="s">
        <v>89</v>
      </c>
      <c r="J291" t="s">
        <v>78</v>
      </c>
      <c r="K291" t="s">
        <v>33</v>
      </c>
      <c r="L291" t="s">
        <v>360</v>
      </c>
      <c r="M291" t="s">
        <v>196</v>
      </c>
      <c r="N291" t="s">
        <v>197</v>
      </c>
    </row>
    <row r="292" spans="1:14" x14ac:dyDescent="0.2">
      <c r="A292">
        <v>548351</v>
      </c>
      <c r="B292">
        <f>YEAR(#REF!)</f>
        <v>2012</v>
      </c>
      <c r="C292" t="s">
        <v>504</v>
      </c>
      <c r="D292" s="1">
        <v>41032</v>
      </c>
      <c r="E292" t="s">
        <v>160</v>
      </c>
      <c r="F292" t="s">
        <v>24</v>
      </c>
      <c r="H292" t="s">
        <v>24</v>
      </c>
      <c r="I292" t="s">
        <v>77</v>
      </c>
      <c r="J292" t="s">
        <v>78</v>
      </c>
      <c r="K292" t="s">
        <v>24</v>
      </c>
      <c r="L292" t="s">
        <v>161</v>
      </c>
      <c r="M292" t="s">
        <v>162</v>
      </c>
      <c r="N292" t="s">
        <v>163</v>
      </c>
    </row>
    <row r="293" spans="1:14" x14ac:dyDescent="0.2">
      <c r="A293">
        <v>548352</v>
      </c>
      <c r="B293">
        <f>YEAR(#REF!)</f>
        <v>2012</v>
      </c>
      <c r="C293" t="s">
        <v>504</v>
      </c>
      <c r="D293" s="1">
        <v>41033</v>
      </c>
      <c r="E293" t="s">
        <v>15</v>
      </c>
      <c r="F293" t="s">
        <v>19</v>
      </c>
      <c r="H293" t="s">
        <v>15</v>
      </c>
      <c r="I293" t="s">
        <v>77</v>
      </c>
      <c r="J293" t="s">
        <v>78</v>
      </c>
      <c r="K293" t="s">
        <v>15</v>
      </c>
      <c r="L293" t="s">
        <v>259</v>
      </c>
      <c r="M293" t="s">
        <v>120</v>
      </c>
      <c r="N293" t="s">
        <v>107</v>
      </c>
    </row>
    <row r="294" spans="1:14" x14ac:dyDescent="0.2">
      <c r="A294">
        <v>548353</v>
      </c>
      <c r="B294">
        <f>YEAR(#REF!)</f>
        <v>2012</v>
      </c>
      <c r="C294" t="s">
        <v>504</v>
      </c>
      <c r="D294" s="1">
        <v>41034</v>
      </c>
      <c r="E294" t="s">
        <v>29</v>
      </c>
      <c r="F294" t="s">
        <v>160</v>
      </c>
      <c r="H294" t="s">
        <v>29</v>
      </c>
      <c r="I294" t="s">
        <v>77</v>
      </c>
      <c r="J294" t="s">
        <v>78</v>
      </c>
      <c r="K294" t="s">
        <v>29</v>
      </c>
      <c r="L294" t="s">
        <v>133</v>
      </c>
      <c r="M294" t="s">
        <v>134</v>
      </c>
      <c r="N294" t="s">
        <v>135</v>
      </c>
    </row>
    <row r="295" spans="1:14" x14ac:dyDescent="0.2">
      <c r="A295">
        <v>548354</v>
      </c>
      <c r="B295">
        <f>YEAR(#REF!)</f>
        <v>2012</v>
      </c>
      <c r="C295" t="s">
        <v>504</v>
      </c>
      <c r="D295" s="1">
        <v>41034</v>
      </c>
      <c r="E295" t="s">
        <v>33</v>
      </c>
      <c r="F295" t="s">
        <v>14</v>
      </c>
      <c r="H295" t="s">
        <v>14</v>
      </c>
      <c r="I295" t="s">
        <v>77</v>
      </c>
      <c r="J295" t="s">
        <v>78</v>
      </c>
      <c r="K295" t="s">
        <v>14</v>
      </c>
      <c r="L295" t="s">
        <v>166</v>
      </c>
      <c r="M295" t="s">
        <v>112</v>
      </c>
      <c r="N295" t="s">
        <v>95</v>
      </c>
    </row>
    <row r="296" spans="1:14" x14ac:dyDescent="0.2">
      <c r="A296">
        <v>548355</v>
      </c>
      <c r="B296">
        <f>YEAR(#REF!)</f>
        <v>2012</v>
      </c>
      <c r="C296" t="s">
        <v>504</v>
      </c>
      <c r="D296" s="1">
        <v>41035</v>
      </c>
      <c r="E296" t="s">
        <v>24</v>
      </c>
      <c r="F296" t="s">
        <v>15</v>
      </c>
      <c r="H296" t="s">
        <v>24</v>
      </c>
      <c r="I296" t="s">
        <v>89</v>
      </c>
      <c r="J296" t="s">
        <v>78</v>
      </c>
      <c r="K296" t="s">
        <v>24</v>
      </c>
      <c r="L296" t="s">
        <v>158</v>
      </c>
      <c r="M296" t="s">
        <v>97</v>
      </c>
      <c r="N296" t="s">
        <v>92</v>
      </c>
    </row>
    <row r="297" spans="1:14" x14ac:dyDescent="0.2">
      <c r="A297">
        <v>548356</v>
      </c>
      <c r="B297">
        <f>YEAR(#REF!)</f>
        <v>2012</v>
      </c>
      <c r="C297" t="s">
        <v>504</v>
      </c>
      <c r="D297" s="1">
        <v>41035</v>
      </c>
      <c r="E297" t="s">
        <v>20</v>
      </c>
      <c r="F297" t="s">
        <v>19</v>
      </c>
      <c r="H297" t="s">
        <v>20</v>
      </c>
      <c r="I297" t="s">
        <v>89</v>
      </c>
      <c r="J297" t="s">
        <v>78</v>
      </c>
      <c r="K297" t="s">
        <v>20</v>
      </c>
      <c r="L297" t="s">
        <v>38</v>
      </c>
      <c r="M297" t="s">
        <v>196</v>
      </c>
      <c r="N297" t="s">
        <v>197</v>
      </c>
    </row>
    <row r="298" spans="1:14" x14ac:dyDescent="0.2">
      <c r="A298">
        <v>548357</v>
      </c>
      <c r="B298">
        <f>YEAR(#REF!)</f>
        <v>2012</v>
      </c>
      <c r="C298" t="s">
        <v>504</v>
      </c>
      <c r="D298" s="1">
        <v>41036</v>
      </c>
      <c r="E298" t="s">
        <v>76</v>
      </c>
      <c r="F298" t="s">
        <v>29</v>
      </c>
      <c r="H298" t="s">
        <v>76</v>
      </c>
      <c r="I298" t="s">
        <v>77</v>
      </c>
      <c r="J298" t="s">
        <v>78</v>
      </c>
      <c r="K298" t="s">
        <v>29</v>
      </c>
      <c r="L298" t="s">
        <v>249</v>
      </c>
      <c r="M298" t="s">
        <v>87</v>
      </c>
      <c r="N298" t="s">
        <v>88</v>
      </c>
    </row>
    <row r="299" spans="1:14" x14ac:dyDescent="0.2">
      <c r="A299">
        <v>548358</v>
      </c>
      <c r="B299">
        <f>YEAR(#REF!)</f>
        <v>2012</v>
      </c>
      <c r="C299" t="s">
        <v>504</v>
      </c>
      <c r="D299" s="1">
        <v>41037</v>
      </c>
      <c r="E299" t="s">
        <v>160</v>
      </c>
      <c r="F299" t="s">
        <v>14</v>
      </c>
      <c r="H299" t="s">
        <v>160</v>
      </c>
      <c r="I299" t="s">
        <v>77</v>
      </c>
      <c r="J299" t="s">
        <v>78</v>
      </c>
      <c r="K299" t="s">
        <v>14</v>
      </c>
      <c r="L299" t="s">
        <v>166</v>
      </c>
      <c r="M299" t="s">
        <v>162</v>
      </c>
      <c r="N299" t="s">
        <v>163</v>
      </c>
    </row>
    <row r="300" spans="1:14" x14ac:dyDescent="0.2">
      <c r="A300">
        <v>548359</v>
      </c>
      <c r="B300">
        <f>YEAR(#REF!)</f>
        <v>2012</v>
      </c>
      <c r="C300" t="s">
        <v>504</v>
      </c>
      <c r="D300" s="1">
        <v>41037</v>
      </c>
      <c r="E300" t="s">
        <v>19</v>
      </c>
      <c r="F300" t="s">
        <v>33</v>
      </c>
      <c r="H300" t="s">
        <v>19</v>
      </c>
      <c r="I300" t="s">
        <v>89</v>
      </c>
      <c r="J300" t="s">
        <v>78</v>
      </c>
      <c r="K300" t="s">
        <v>33</v>
      </c>
      <c r="L300" t="s">
        <v>440</v>
      </c>
      <c r="M300" t="s">
        <v>164</v>
      </c>
      <c r="N300" t="s">
        <v>145</v>
      </c>
    </row>
    <row r="301" spans="1:14" x14ac:dyDescent="0.2">
      <c r="A301">
        <v>548360</v>
      </c>
      <c r="B301">
        <f>YEAR(#REF!)</f>
        <v>2012</v>
      </c>
      <c r="C301" t="s">
        <v>504</v>
      </c>
      <c r="D301" s="1">
        <v>41038</v>
      </c>
      <c r="E301" t="s">
        <v>24</v>
      </c>
      <c r="F301" t="s">
        <v>20</v>
      </c>
      <c r="H301" t="s">
        <v>20</v>
      </c>
      <c r="I301" t="s">
        <v>89</v>
      </c>
      <c r="J301" t="s">
        <v>78</v>
      </c>
      <c r="K301" t="s">
        <v>20</v>
      </c>
      <c r="L301" t="s">
        <v>214</v>
      </c>
      <c r="M301" t="s">
        <v>97</v>
      </c>
      <c r="N301" t="s">
        <v>92</v>
      </c>
    </row>
    <row r="302" spans="1:14" x14ac:dyDescent="0.2">
      <c r="A302">
        <v>548361</v>
      </c>
      <c r="B302">
        <f>YEAR(#REF!)</f>
        <v>2012</v>
      </c>
      <c r="C302" t="s">
        <v>504</v>
      </c>
      <c r="D302" s="1">
        <v>41039</v>
      </c>
      <c r="E302" t="s">
        <v>14</v>
      </c>
      <c r="F302" t="s">
        <v>15</v>
      </c>
      <c r="H302" t="s">
        <v>15</v>
      </c>
      <c r="I302" t="s">
        <v>89</v>
      </c>
      <c r="J302" t="s">
        <v>78</v>
      </c>
      <c r="K302" t="s">
        <v>15</v>
      </c>
      <c r="L302" t="s">
        <v>277</v>
      </c>
      <c r="M302" t="s">
        <v>153</v>
      </c>
      <c r="N302" t="s">
        <v>85</v>
      </c>
    </row>
    <row r="303" spans="1:14" x14ac:dyDescent="0.2">
      <c r="A303">
        <v>548329</v>
      </c>
      <c r="B303">
        <f>YEAR(#REF!)</f>
        <v>2012</v>
      </c>
      <c r="C303" t="s">
        <v>504</v>
      </c>
      <c r="D303" s="1">
        <v>41039</v>
      </c>
      <c r="E303" t="s">
        <v>19</v>
      </c>
      <c r="F303" t="s">
        <v>76</v>
      </c>
      <c r="H303" t="s">
        <v>19</v>
      </c>
      <c r="I303" t="s">
        <v>77</v>
      </c>
      <c r="J303" t="s">
        <v>78</v>
      </c>
      <c r="K303" t="s">
        <v>76</v>
      </c>
      <c r="L303" t="s">
        <v>80</v>
      </c>
      <c r="M303" t="s">
        <v>164</v>
      </c>
      <c r="N303" t="s">
        <v>145</v>
      </c>
    </row>
    <row r="304" spans="1:14" x14ac:dyDescent="0.2">
      <c r="A304">
        <v>548362</v>
      </c>
      <c r="B304">
        <f>YEAR(#REF!)</f>
        <v>2012</v>
      </c>
      <c r="C304" t="s">
        <v>504</v>
      </c>
      <c r="D304" s="1">
        <v>41040</v>
      </c>
      <c r="E304" t="s">
        <v>160</v>
      </c>
      <c r="F304" t="s">
        <v>20</v>
      </c>
      <c r="H304" t="s">
        <v>160</v>
      </c>
      <c r="I304" t="s">
        <v>89</v>
      </c>
      <c r="J304" t="s">
        <v>78</v>
      </c>
      <c r="K304" t="s">
        <v>20</v>
      </c>
      <c r="L304" t="s">
        <v>214</v>
      </c>
      <c r="M304" t="s">
        <v>162</v>
      </c>
      <c r="N304" t="s">
        <v>163</v>
      </c>
    </row>
    <row r="305" spans="1:14" x14ac:dyDescent="0.2">
      <c r="A305">
        <v>548363</v>
      </c>
      <c r="B305">
        <f>YEAR(#REF!)</f>
        <v>2012</v>
      </c>
      <c r="C305" t="s">
        <v>504</v>
      </c>
      <c r="D305" s="1">
        <v>41041</v>
      </c>
      <c r="E305" t="s">
        <v>29</v>
      </c>
      <c r="F305" t="s">
        <v>24</v>
      </c>
      <c r="H305" t="s">
        <v>24</v>
      </c>
      <c r="I305" t="s">
        <v>77</v>
      </c>
      <c r="J305" t="s">
        <v>78</v>
      </c>
      <c r="K305" t="s">
        <v>24</v>
      </c>
      <c r="L305" t="s">
        <v>96</v>
      </c>
      <c r="M305" t="s">
        <v>134</v>
      </c>
      <c r="N305" t="s">
        <v>135</v>
      </c>
    </row>
    <row r="306" spans="1:14" x14ac:dyDescent="0.2">
      <c r="A306">
        <v>548364</v>
      </c>
      <c r="B306">
        <f>YEAR(#REF!)</f>
        <v>2012</v>
      </c>
      <c r="C306" t="s">
        <v>504</v>
      </c>
      <c r="D306" s="1">
        <v>41041</v>
      </c>
      <c r="E306" t="s">
        <v>15</v>
      </c>
      <c r="F306" t="s">
        <v>76</v>
      </c>
      <c r="H306" t="s">
        <v>15</v>
      </c>
      <c r="I306" t="s">
        <v>89</v>
      </c>
      <c r="J306" t="s">
        <v>78</v>
      </c>
      <c r="K306" t="s">
        <v>15</v>
      </c>
      <c r="L306" t="s">
        <v>277</v>
      </c>
      <c r="M306" t="s">
        <v>120</v>
      </c>
      <c r="N306" t="s">
        <v>107</v>
      </c>
    </row>
    <row r="307" spans="1:14" x14ac:dyDescent="0.2">
      <c r="A307">
        <v>548365</v>
      </c>
      <c r="B307">
        <f>YEAR(#REF!)</f>
        <v>2012</v>
      </c>
      <c r="C307" t="s">
        <v>504</v>
      </c>
      <c r="D307" s="1">
        <v>41042</v>
      </c>
      <c r="E307" t="s">
        <v>14</v>
      </c>
      <c r="F307" t="s">
        <v>160</v>
      </c>
      <c r="H307" t="s">
        <v>14</v>
      </c>
      <c r="I307" t="s">
        <v>77</v>
      </c>
      <c r="J307" t="s">
        <v>78</v>
      </c>
      <c r="K307" t="s">
        <v>14</v>
      </c>
      <c r="L307" t="s">
        <v>286</v>
      </c>
      <c r="M307" t="s">
        <v>153</v>
      </c>
      <c r="N307" t="s">
        <v>85</v>
      </c>
    </row>
    <row r="308" spans="1:14" x14ac:dyDescent="0.2">
      <c r="A308">
        <v>548366</v>
      </c>
      <c r="B308">
        <f>YEAR(#REF!)</f>
        <v>2012</v>
      </c>
      <c r="C308" t="s">
        <v>504</v>
      </c>
      <c r="D308" s="1">
        <v>41042</v>
      </c>
      <c r="E308" t="s">
        <v>33</v>
      </c>
      <c r="F308" t="s">
        <v>19</v>
      </c>
      <c r="H308" t="s">
        <v>19</v>
      </c>
      <c r="I308" t="s">
        <v>77</v>
      </c>
      <c r="J308" t="s">
        <v>78</v>
      </c>
      <c r="K308" t="s">
        <v>33</v>
      </c>
      <c r="L308" t="s">
        <v>394</v>
      </c>
      <c r="M308" t="s">
        <v>112</v>
      </c>
      <c r="N308" t="s">
        <v>95</v>
      </c>
    </row>
    <row r="309" spans="1:14" x14ac:dyDescent="0.2">
      <c r="A309">
        <v>548367</v>
      </c>
      <c r="B309">
        <f>YEAR(#REF!)</f>
        <v>2012</v>
      </c>
      <c r="C309" t="s">
        <v>504</v>
      </c>
      <c r="D309" s="1">
        <v>41043</v>
      </c>
      <c r="E309" t="s">
        <v>20</v>
      </c>
      <c r="F309" t="s">
        <v>24</v>
      </c>
      <c r="H309" t="s">
        <v>24</v>
      </c>
      <c r="I309" t="s">
        <v>89</v>
      </c>
      <c r="J309" t="s">
        <v>78</v>
      </c>
      <c r="K309" t="s">
        <v>24</v>
      </c>
      <c r="L309" t="s">
        <v>231</v>
      </c>
      <c r="M309" t="s">
        <v>196</v>
      </c>
      <c r="N309" t="s">
        <v>197</v>
      </c>
    </row>
    <row r="310" spans="1:14" x14ac:dyDescent="0.2">
      <c r="A310">
        <v>548368</v>
      </c>
      <c r="B310">
        <f>YEAR(#REF!)</f>
        <v>2012</v>
      </c>
      <c r="C310" t="s">
        <v>504</v>
      </c>
      <c r="D310" s="1">
        <v>41043</v>
      </c>
      <c r="E310" t="s">
        <v>29</v>
      </c>
      <c r="F310" t="s">
        <v>15</v>
      </c>
      <c r="H310" t="s">
        <v>15</v>
      </c>
      <c r="I310" t="s">
        <v>89</v>
      </c>
      <c r="J310" t="s">
        <v>78</v>
      </c>
      <c r="K310" t="s">
        <v>15</v>
      </c>
      <c r="L310" t="s">
        <v>142</v>
      </c>
      <c r="M310" t="s">
        <v>134</v>
      </c>
      <c r="N310" t="s">
        <v>135</v>
      </c>
    </row>
    <row r="311" spans="1:14" x14ac:dyDescent="0.2">
      <c r="A311">
        <v>548369</v>
      </c>
      <c r="B311">
        <f>YEAR(#REF!)</f>
        <v>2012</v>
      </c>
      <c r="C311" t="s">
        <v>504</v>
      </c>
      <c r="D311" s="1">
        <v>41044</v>
      </c>
      <c r="E311" t="s">
        <v>76</v>
      </c>
      <c r="F311" t="s">
        <v>33</v>
      </c>
      <c r="H311" t="s">
        <v>33</v>
      </c>
      <c r="I311" t="s">
        <v>77</v>
      </c>
      <c r="J311" t="s">
        <v>78</v>
      </c>
      <c r="K311" t="s">
        <v>76</v>
      </c>
      <c r="L311" t="s">
        <v>240</v>
      </c>
      <c r="M311" t="s">
        <v>87</v>
      </c>
      <c r="N311" t="s">
        <v>88</v>
      </c>
    </row>
    <row r="312" spans="1:14" x14ac:dyDescent="0.2">
      <c r="A312">
        <v>548370</v>
      </c>
      <c r="B312">
        <f>YEAR(#REF!)</f>
        <v>2012</v>
      </c>
      <c r="C312" t="s">
        <v>504</v>
      </c>
      <c r="D312" s="1">
        <v>41045</v>
      </c>
      <c r="E312" t="s">
        <v>24</v>
      </c>
      <c r="F312" t="s">
        <v>29</v>
      </c>
      <c r="H312" t="s">
        <v>24</v>
      </c>
      <c r="I312" t="s">
        <v>89</v>
      </c>
      <c r="J312" t="s">
        <v>78</v>
      </c>
      <c r="K312" t="s">
        <v>29</v>
      </c>
      <c r="L312" t="s">
        <v>133</v>
      </c>
      <c r="M312" t="s">
        <v>97</v>
      </c>
      <c r="N312" t="s">
        <v>92</v>
      </c>
    </row>
    <row r="313" spans="1:14" x14ac:dyDescent="0.2">
      <c r="A313">
        <v>548371</v>
      </c>
      <c r="B313">
        <f>YEAR(#REF!)</f>
        <v>2012</v>
      </c>
      <c r="C313" t="s">
        <v>504</v>
      </c>
      <c r="D313" s="1">
        <v>41046</v>
      </c>
      <c r="E313" t="s">
        <v>33</v>
      </c>
      <c r="F313" t="s">
        <v>15</v>
      </c>
      <c r="H313" t="s">
        <v>33</v>
      </c>
      <c r="I313" t="s">
        <v>89</v>
      </c>
      <c r="J313" t="s">
        <v>78</v>
      </c>
      <c r="K313" t="s">
        <v>33</v>
      </c>
      <c r="L313" t="s">
        <v>174</v>
      </c>
      <c r="M313" t="s">
        <v>175</v>
      </c>
      <c r="N313" t="s">
        <v>176</v>
      </c>
    </row>
    <row r="314" spans="1:14" x14ac:dyDescent="0.2">
      <c r="A314">
        <v>548372</v>
      </c>
      <c r="B314">
        <f>YEAR(#REF!)</f>
        <v>2012</v>
      </c>
      <c r="C314" t="s">
        <v>504</v>
      </c>
      <c r="D314" s="1">
        <v>41046</v>
      </c>
      <c r="E314" t="s">
        <v>76</v>
      </c>
      <c r="F314" t="s">
        <v>20</v>
      </c>
      <c r="H314" t="s">
        <v>76</v>
      </c>
      <c r="I314" t="s">
        <v>89</v>
      </c>
      <c r="J314" t="s">
        <v>78</v>
      </c>
      <c r="K314" t="s">
        <v>20</v>
      </c>
      <c r="L314" t="s">
        <v>214</v>
      </c>
      <c r="M314" t="s">
        <v>87</v>
      </c>
      <c r="N314" t="s">
        <v>88</v>
      </c>
    </row>
    <row r="315" spans="1:14" x14ac:dyDescent="0.2">
      <c r="A315">
        <v>548373</v>
      </c>
      <c r="B315">
        <f>YEAR(#REF!)</f>
        <v>2012</v>
      </c>
      <c r="C315" t="s">
        <v>504</v>
      </c>
      <c r="D315" s="1">
        <v>41047</v>
      </c>
      <c r="E315" t="s">
        <v>19</v>
      </c>
      <c r="F315" t="s">
        <v>14</v>
      </c>
      <c r="H315" t="s">
        <v>14</v>
      </c>
      <c r="I315" t="s">
        <v>77</v>
      </c>
      <c r="J315" t="s">
        <v>78</v>
      </c>
      <c r="K315" t="s">
        <v>19</v>
      </c>
      <c r="L315" t="s">
        <v>342</v>
      </c>
      <c r="M315" t="s">
        <v>164</v>
      </c>
      <c r="N315" t="s">
        <v>145</v>
      </c>
    </row>
    <row r="316" spans="1:14" x14ac:dyDescent="0.2">
      <c r="A316">
        <v>548374</v>
      </c>
      <c r="B316">
        <f>YEAR(#REF!)</f>
        <v>2012</v>
      </c>
      <c r="C316" t="s">
        <v>504</v>
      </c>
      <c r="D316" s="1">
        <v>41048</v>
      </c>
      <c r="E316" t="s">
        <v>33</v>
      </c>
      <c r="F316" t="s">
        <v>76</v>
      </c>
      <c r="H316" t="s">
        <v>76</v>
      </c>
      <c r="I316" t="s">
        <v>89</v>
      </c>
      <c r="J316" t="s">
        <v>78</v>
      </c>
      <c r="K316" t="s">
        <v>76</v>
      </c>
      <c r="L316" t="s">
        <v>240</v>
      </c>
      <c r="M316" t="s">
        <v>175</v>
      </c>
      <c r="N316" t="s">
        <v>176</v>
      </c>
    </row>
    <row r="317" spans="1:14" x14ac:dyDescent="0.2">
      <c r="A317">
        <v>548375</v>
      </c>
      <c r="B317">
        <f>YEAR(#REF!)</f>
        <v>2012</v>
      </c>
      <c r="C317" t="s">
        <v>504</v>
      </c>
      <c r="D317" s="1">
        <v>41048</v>
      </c>
      <c r="E317" t="s">
        <v>160</v>
      </c>
      <c r="F317" t="s">
        <v>29</v>
      </c>
      <c r="H317" t="s">
        <v>29</v>
      </c>
      <c r="I317" t="s">
        <v>77</v>
      </c>
      <c r="J317" t="s">
        <v>78</v>
      </c>
      <c r="K317" t="s">
        <v>29</v>
      </c>
      <c r="L317" t="s">
        <v>483</v>
      </c>
      <c r="M317" t="s">
        <v>162</v>
      </c>
      <c r="N317" t="s">
        <v>163</v>
      </c>
    </row>
    <row r="318" spans="1:14" x14ac:dyDescent="0.2">
      <c r="A318">
        <v>548377</v>
      </c>
      <c r="B318">
        <f>YEAR(#REF!)</f>
        <v>2012</v>
      </c>
      <c r="C318" t="s">
        <v>504</v>
      </c>
      <c r="D318" s="1">
        <v>41049</v>
      </c>
      <c r="E318" t="s">
        <v>14</v>
      </c>
      <c r="F318" t="s">
        <v>24</v>
      </c>
      <c r="H318" t="s">
        <v>14</v>
      </c>
      <c r="I318" t="s">
        <v>77</v>
      </c>
      <c r="J318" t="s">
        <v>78</v>
      </c>
      <c r="K318" t="s">
        <v>24</v>
      </c>
      <c r="L318" t="s">
        <v>158</v>
      </c>
      <c r="M318" t="s">
        <v>153</v>
      </c>
      <c r="N318" t="s">
        <v>85</v>
      </c>
    </row>
    <row r="319" spans="1:14" x14ac:dyDescent="0.2">
      <c r="A319">
        <v>548376</v>
      </c>
      <c r="B319">
        <f>YEAR(#REF!)</f>
        <v>2012</v>
      </c>
      <c r="C319" t="s">
        <v>504</v>
      </c>
      <c r="D319" s="1">
        <v>41049</v>
      </c>
      <c r="E319" t="s">
        <v>19</v>
      </c>
      <c r="F319" t="s">
        <v>20</v>
      </c>
      <c r="H319" t="s">
        <v>20</v>
      </c>
      <c r="I319" t="s">
        <v>89</v>
      </c>
      <c r="J319" t="s">
        <v>78</v>
      </c>
      <c r="K319" t="s">
        <v>19</v>
      </c>
      <c r="L319" t="s">
        <v>342</v>
      </c>
      <c r="M319" t="s">
        <v>164</v>
      </c>
      <c r="N319" t="s">
        <v>145</v>
      </c>
    </row>
    <row r="320" spans="1:14" x14ac:dyDescent="0.2">
      <c r="A320">
        <v>548378</v>
      </c>
      <c r="B320">
        <f>YEAR(#REF!)</f>
        <v>2012</v>
      </c>
      <c r="C320" t="s">
        <v>504</v>
      </c>
      <c r="D320" s="1">
        <v>41051</v>
      </c>
      <c r="E320" t="s">
        <v>76</v>
      </c>
      <c r="F320" t="s">
        <v>29</v>
      </c>
      <c r="H320" t="s">
        <v>29</v>
      </c>
      <c r="I320" t="s">
        <v>77</v>
      </c>
      <c r="J320" t="s">
        <v>78</v>
      </c>
      <c r="K320" t="s">
        <v>29</v>
      </c>
      <c r="L320" t="s">
        <v>199</v>
      </c>
      <c r="M320" t="s">
        <v>162</v>
      </c>
      <c r="N320" t="s">
        <v>163</v>
      </c>
    </row>
    <row r="321" spans="1:14" x14ac:dyDescent="0.2">
      <c r="A321">
        <v>548379</v>
      </c>
      <c r="B321">
        <f>YEAR(#REF!)</f>
        <v>2012</v>
      </c>
      <c r="C321" t="s">
        <v>504</v>
      </c>
      <c r="D321" s="1">
        <v>41052</v>
      </c>
      <c r="E321" t="s">
        <v>15</v>
      </c>
      <c r="F321" t="s">
        <v>24</v>
      </c>
      <c r="H321" t="s">
        <v>24</v>
      </c>
      <c r="I321" t="s">
        <v>89</v>
      </c>
      <c r="J321" t="s">
        <v>78</v>
      </c>
      <c r="K321" t="s">
        <v>15</v>
      </c>
      <c r="L321" t="s">
        <v>119</v>
      </c>
      <c r="M321" t="s">
        <v>196</v>
      </c>
      <c r="N321" t="s">
        <v>197</v>
      </c>
    </row>
    <row r="322" spans="1:14" x14ac:dyDescent="0.2">
      <c r="A322">
        <v>548380</v>
      </c>
      <c r="B322">
        <f>YEAR(#REF!)</f>
        <v>2012</v>
      </c>
      <c r="C322" t="s">
        <v>504</v>
      </c>
      <c r="D322" s="1">
        <v>41054</v>
      </c>
      <c r="E322" t="s">
        <v>76</v>
      </c>
      <c r="F322" t="s">
        <v>15</v>
      </c>
      <c r="H322" t="s">
        <v>76</v>
      </c>
      <c r="I322" t="s">
        <v>89</v>
      </c>
      <c r="J322" t="s">
        <v>78</v>
      </c>
      <c r="K322" t="s">
        <v>15</v>
      </c>
      <c r="L322" t="s">
        <v>205</v>
      </c>
      <c r="M322" t="s">
        <v>120</v>
      </c>
      <c r="N322" t="s">
        <v>107</v>
      </c>
    </row>
    <row r="323" spans="1:14" x14ac:dyDescent="0.2">
      <c r="A323">
        <v>548381</v>
      </c>
      <c r="B323">
        <f>YEAR(#REF!)</f>
        <v>2012</v>
      </c>
      <c r="C323" t="s">
        <v>504</v>
      </c>
      <c r="D323" s="1">
        <v>41056</v>
      </c>
      <c r="E323" t="s">
        <v>29</v>
      </c>
      <c r="F323" t="s">
        <v>15</v>
      </c>
      <c r="H323" t="s">
        <v>15</v>
      </c>
      <c r="I323" t="s">
        <v>77</v>
      </c>
      <c r="J323" t="s">
        <v>78</v>
      </c>
      <c r="K323" t="s">
        <v>29</v>
      </c>
      <c r="L323" t="s">
        <v>295</v>
      </c>
      <c r="M323" t="s">
        <v>120</v>
      </c>
      <c r="N323" t="s">
        <v>107</v>
      </c>
    </row>
    <row r="324" spans="1:14" x14ac:dyDescent="0.2">
      <c r="A324">
        <v>597998</v>
      </c>
      <c r="B324">
        <f>YEAR(#REF!)</f>
        <v>2013</v>
      </c>
      <c r="C324" t="s">
        <v>505</v>
      </c>
      <c r="D324" s="1">
        <v>41367</v>
      </c>
      <c r="E324" t="s">
        <v>29</v>
      </c>
      <c r="F324" t="s">
        <v>76</v>
      </c>
      <c r="H324" t="s">
        <v>29</v>
      </c>
      <c r="I324" t="s">
        <v>89</v>
      </c>
      <c r="J324" t="s">
        <v>78</v>
      </c>
      <c r="K324" t="s">
        <v>29</v>
      </c>
      <c r="L324" t="s">
        <v>133</v>
      </c>
      <c r="M324" t="s">
        <v>134</v>
      </c>
      <c r="N324" t="s">
        <v>135</v>
      </c>
    </row>
    <row r="325" spans="1:14" x14ac:dyDescent="0.2">
      <c r="A325">
        <v>597999</v>
      </c>
      <c r="B325">
        <f>YEAR(#REF!)</f>
        <v>2013</v>
      </c>
      <c r="C325" t="s">
        <v>505</v>
      </c>
      <c r="D325" s="1">
        <v>41368</v>
      </c>
      <c r="E325" t="s">
        <v>20</v>
      </c>
      <c r="F325" t="s">
        <v>24</v>
      </c>
      <c r="H325" t="s">
        <v>24</v>
      </c>
      <c r="I325" t="s">
        <v>89</v>
      </c>
      <c r="J325" t="s">
        <v>78</v>
      </c>
      <c r="K325" t="s">
        <v>20</v>
      </c>
      <c r="L325" t="s">
        <v>214</v>
      </c>
      <c r="M325" t="s">
        <v>196</v>
      </c>
      <c r="N325" t="s">
        <v>197</v>
      </c>
    </row>
    <row r="326" spans="1:14" x14ac:dyDescent="0.2">
      <c r="A326">
        <v>598000</v>
      </c>
      <c r="B326">
        <f>YEAR(#REF!)</f>
        <v>2013</v>
      </c>
      <c r="C326" t="s">
        <v>505</v>
      </c>
      <c r="D326" s="1">
        <v>41369</v>
      </c>
      <c r="E326" t="s">
        <v>39</v>
      </c>
      <c r="F326" t="s">
        <v>160</v>
      </c>
      <c r="H326" t="s">
        <v>160</v>
      </c>
      <c r="I326" t="s">
        <v>89</v>
      </c>
      <c r="J326" t="s">
        <v>78</v>
      </c>
      <c r="K326" t="s">
        <v>39</v>
      </c>
      <c r="L326" t="s">
        <v>151</v>
      </c>
      <c r="M326" t="s">
        <v>164</v>
      </c>
      <c r="N326" t="s">
        <v>145</v>
      </c>
    </row>
    <row r="327" spans="1:14" x14ac:dyDescent="0.2">
      <c r="A327">
        <v>598002</v>
      </c>
      <c r="B327">
        <f>YEAR(#REF!)</f>
        <v>2013</v>
      </c>
      <c r="C327" t="s">
        <v>505</v>
      </c>
      <c r="D327" s="1">
        <v>41370</v>
      </c>
      <c r="E327" t="s">
        <v>15</v>
      </c>
      <c r="F327" t="s">
        <v>24</v>
      </c>
      <c r="H327" t="s">
        <v>24</v>
      </c>
      <c r="I327" t="s">
        <v>77</v>
      </c>
      <c r="J327" t="s">
        <v>78</v>
      </c>
      <c r="K327" t="s">
        <v>24</v>
      </c>
      <c r="L327" t="s">
        <v>123</v>
      </c>
      <c r="M327" t="s">
        <v>120</v>
      </c>
      <c r="N327" t="s">
        <v>107</v>
      </c>
    </row>
    <row r="328" spans="1:14" x14ac:dyDescent="0.2">
      <c r="A328">
        <v>598001</v>
      </c>
      <c r="B328">
        <f>YEAR(#REF!)</f>
        <v>2013</v>
      </c>
      <c r="C328" t="s">
        <v>505</v>
      </c>
      <c r="D328" s="1">
        <v>41370</v>
      </c>
      <c r="E328" t="s">
        <v>76</v>
      </c>
      <c r="F328" t="s">
        <v>14</v>
      </c>
      <c r="H328" t="s">
        <v>14</v>
      </c>
      <c r="I328" t="s">
        <v>77</v>
      </c>
      <c r="J328" t="s">
        <v>78</v>
      </c>
      <c r="K328" t="s">
        <v>14</v>
      </c>
      <c r="L328" t="s">
        <v>369</v>
      </c>
      <c r="M328" t="s">
        <v>87</v>
      </c>
      <c r="N328" t="s">
        <v>88</v>
      </c>
    </row>
    <row r="329" spans="1:14" x14ac:dyDescent="0.2">
      <c r="A329">
        <v>598003</v>
      </c>
      <c r="B329">
        <f>YEAR(#REF!)</f>
        <v>2013</v>
      </c>
      <c r="C329" t="s">
        <v>505</v>
      </c>
      <c r="D329" s="1">
        <v>41371</v>
      </c>
      <c r="E329" t="s">
        <v>160</v>
      </c>
      <c r="F329" t="s">
        <v>33</v>
      </c>
      <c r="H329" t="s">
        <v>160</v>
      </c>
      <c r="I329" t="s">
        <v>77</v>
      </c>
      <c r="J329" t="s">
        <v>78</v>
      </c>
      <c r="K329" t="s">
        <v>33</v>
      </c>
      <c r="L329" t="s">
        <v>219</v>
      </c>
      <c r="M329" t="s">
        <v>162</v>
      </c>
      <c r="N329" t="s">
        <v>163</v>
      </c>
    </row>
    <row r="330" spans="1:14" x14ac:dyDescent="0.2">
      <c r="A330">
        <v>598004</v>
      </c>
      <c r="B330">
        <f>YEAR(#REF!)</f>
        <v>2013</v>
      </c>
      <c r="C330" t="s">
        <v>505</v>
      </c>
      <c r="D330" s="1">
        <v>41371</v>
      </c>
      <c r="E330" t="s">
        <v>39</v>
      </c>
      <c r="F330" t="s">
        <v>20</v>
      </c>
      <c r="H330" t="s">
        <v>20</v>
      </c>
      <c r="I330" t="s">
        <v>77</v>
      </c>
      <c r="J330" t="s">
        <v>310</v>
      </c>
      <c r="K330" t="s">
        <v>79</v>
      </c>
      <c r="L330" t="s">
        <v>425</v>
      </c>
      <c r="M330" t="s">
        <v>164</v>
      </c>
      <c r="N330" t="s">
        <v>145</v>
      </c>
    </row>
    <row r="331" spans="1:14" x14ac:dyDescent="0.2">
      <c r="A331">
        <v>598005</v>
      </c>
      <c r="B331">
        <f>YEAR(#REF!)</f>
        <v>2013</v>
      </c>
      <c r="C331" t="s">
        <v>505</v>
      </c>
      <c r="D331" s="1">
        <v>41372</v>
      </c>
      <c r="E331" t="s">
        <v>14</v>
      </c>
      <c r="F331" t="s">
        <v>29</v>
      </c>
      <c r="H331" t="s">
        <v>29</v>
      </c>
      <c r="I331" t="s">
        <v>89</v>
      </c>
      <c r="J331" t="s">
        <v>78</v>
      </c>
      <c r="K331" t="s">
        <v>14</v>
      </c>
      <c r="L331" t="s">
        <v>469</v>
      </c>
      <c r="M331" t="s">
        <v>153</v>
      </c>
      <c r="N331" t="s">
        <v>85</v>
      </c>
    </row>
    <row r="332" spans="1:14" x14ac:dyDescent="0.2">
      <c r="A332">
        <v>598006</v>
      </c>
      <c r="B332">
        <f>YEAR(#REF!)</f>
        <v>2013</v>
      </c>
      <c r="C332" t="s">
        <v>505</v>
      </c>
      <c r="D332" s="1">
        <v>41373</v>
      </c>
      <c r="E332" t="s">
        <v>24</v>
      </c>
      <c r="F332" t="s">
        <v>76</v>
      </c>
      <c r="H332" t="s">
        <v>24</v>
      </c>
      <c r="I332" t="s">
        <v>77</v>
      </c>
      <c r="J332" t="s">
        <v>78</v>
      </c>
      <c r="K332" t="s">
        <v>24</v>
      </c>
      <c r="L332" t="s">
        <v>102</v>
      </c>
      <c r="M332" t="s">
        <v>97</v>
      </c>
      <c r="N332" t="s">
        <v>92</v>
      </c>
    </row>
    <row r="333" spans="1:14" x14ac:dyDescent="0.2">
      <c r="A333">
        <v>598048</v>
      </c>
      <c r="B333">
        <f>YEAR(#REF!)</f>
        <v>2013</v>
      </c>
      <c r="C333" t="s">
        <v>505</v>
      </c>
      <c r="D333" s="1">
        <v>41373</v>
      </c>
      <c r="E333" t="s">
        <v>20</v>
      </c>
      <c r="F333" t="s">
        <v>39</v>
      </c>
      <c r="H333" t="s">
        <v>39</v>
      </c>
      <c r="I333" t="s">
        <v>77</v>
      </c>
      <c r="J333" t="s">
        <v>78</v>
      </c>
      <c r="K333" t="s">
        <v>20</v>
      </c>
      <c r="L333" t="s">
        <v>257</v>
      </c>
      <c r="M333" t="s">
        <v>196</v>
      </c>
      <c r="N333" t="s">
        <v>197</v>
      </c>
    </row>
    <row r="334" spans="1:14" x14ac:dyDescent="0.2">
      <c r="A334">
        <v>598007</v>
      </c>
      <c r="B334">
        <f>YEAR(#REF!)</f>
        <v>2013</v>
      </c>
      <c r="C334" t="s">
        <v>505</v>
      </c>
      <c r="D334" s="1">
        <v>41374</v>
      </c>
      <c r="E334" t="s">
        <v>33</v>
      </c>
      <c r="F334" t="s">
        <v>15</v>
      </c>
      <c r="H334" t="s">
        <v>15</v>
      </c>
      <c r="I334" t="s">
        <v>89</v>
      </c>
      <c r="J334" t="s">
        <v>78</v>
      </c>
      <c r="K334" t="s">
        <v>15</v>
      </c>
      <c r="L334" t="s">
        <v>142</v>
      </c>
      <c r="M334" t="s">
        <v>112</v>
      </c>
      <c r="N334" t="s">
        <v>95</v>
      </c>
    </row>
    <row r="335" spans="1:14" x14ac:dyDescent="0.2">
      <c r="A335">
        <v>598009</v>
      </c>
      <c r="B335">
        <f>YEAR(#REF!)</f>
        <v>2013</v>
      </c>
      <c r="C335" t="s">
        <v>505</v>
      </c>
      <c r="D335" s="1">
        <v>41375</v>
      </c>
      <c r="E335" t="s">
        <v>160</v>
      </c>
      <c r="F335" t="s">
        <v>14</v>
      </c>
      <c r="H335" t="s">
        <v>14</v>
      </c>
      <c r="I335" t="s">
        <v>77</v>
      </c>
      <c r="J335" t="s">
        <v>78</v>
      </c>
      <c r="K335" t="s">
        <v>160</v>
      </c>
      <c r="L335" t="s">
        <v>165</v>
      </c>
      <c r="M335" t="s">
        <v>162</v>
      </c>
      <c r="N335" t="s">
        <v>163</v>
      </c>
    </row>
    <row r="336" spans="1:14" x14ac:dyDescent="0.2">
      <c r="A336">
        <v>598008</v>
      </c>
      <c r="B336">
        <f>YEAR(#REF!)</f>
        <v>2013</v>
      </c>
      <c r="C336" t="s">
        <v>505</v>
      </c>
      <c r="D336" s="1">
        <v>41375</v>
      </c>
      <c r="E336" t="s">
        <v>20</v>
      </c>
      <c r="F336" t="s">
        <v>29</v>
      </c>
      <c r="H336" t="s">
        <v>20</v>
      </c>
      <c r="I336" t="s">
        <v>89</v>
      </c>
      <c r="J336" t="s">
        <v>78</v>
      </c>
      <c r="K336" t="s">
        <v>20</v>
      </c>
      <c r="L336" t="s">
        <v>214</v>
      </c>
      <c r="M336" t="s">
        <v>196</v>
      </c>
      <c r="N336" t="s">
        <v>197</v>
      </c>
    </row>
    <row r="337" spans="1:14" x14ac:dyDescent="0.2">
      <c r="A337">
        <v>598010</v>
      </c>
      <c r="B337">
        <f>YEAR(#REF!)</f>
        <v>2013</v>
      </c>
      <c r="C337" t="s">
        <v>505</v>
      </c>
      <c r="D337" s="1">
        <v>41376</v>
      </c>
      <c r="E337" t="s">
        <v>76</v>
      </c>
      <c r="F337" t="s">
        <v>39</v>
      </c>
      <c r="H337" t="s">
        <v>76</v>
      </c>
      <c r="I337" t="s">
        <v>77</v>
      </c>
      <c r="J337" t="s">
        <v>78</v>
      </c>
      <c r="K337" t="s">
        <v>39</v>
      </c>
      <c r="L337" t="s">
        <v>151</v>
      </c>
      <c r="M337" t="s">
        <v>87</v>
      </c>
      <c r="N337" t="s">
        <v>88</v>
      </c>
    </row>
    <row r="338" spans="1:14" x14ac:dyDescent="0.2">
      <c r="A338">
        <v>598012</v>
      </c>
      <c r="B338">
        <f>YEAR(#REF!)</f>
        <v>2013</v>
      </c>
      <c r="C338" t="s">
        <v>505</v>
      </c>
      <c r="D338" s="1">
        <v>41377</v>
      </c>
      <c r="E338" t="s">
        <v>15</v>
      </c>
      <c r="F338" t="s">
        <v>20</v>
      </c>
      <c r="H338" t="s">
        <v>15</v>
      </c>
      <c r="I338" t="s">
        <v>89</v>
      </c>
      <c r="J338" t="s">
        <v>78</v>
      </c>
      <c r="K338" t="s">
        <v>15</v>
      </c>
      <c r="L338" t="s">
        <v>179</v>
      </c>
      <c r="M338" t="s">
        <v>120</v>
      </c>
      <c r="N338" t="s">
        <v>107</v>
      </c>
    </row>
    <row r="339" spans="1:14" x14ac:dyDescent="0.2">
      <c r="A339">
        <v>598011</v>
      </c>
      <c r="B339">
        <f>YEAR(#REF!)</f>
        <v>2013</v>
      </c>
      <c r="C339" t="s">
        <v>505</v>
      </c>
      <c r="D339" s="1">
        <v>41377</v>
      </c>
      <c r="E339" t="s">
        <v>24</v>
      </c>
      <c r="F339" t="s">
        <v>160</v>
      </c>
      <c r="H339" t="s">
        <v>24</v>
      </c>
      <c r="I339" t="s">
        <v>77</v>
      </c>
      <c r="J339" t="s">
        <v>78</v>
      </c>
      <c r="K339" t="s">
        <v>24</v>
      </c>
      <c r="L339" t="s">
        <v>96</v>
      </c>
      <c r="M339" t="s">
        <v>97</v>
      </c>
      <c r="N339" t="s">
        <v>92</v>
      </c>
    </row>
    <row r="340" spans="1:14" x14ac:dyDescent="0.2">
      <c r="A340">
        <v>598013</v>
      </c>
      <c r="B340">
        <f>YEAR(#REF!)</f>
        <v>2013</v>
      </c>
      <c r="C340" t="s">
        <v>505</v>
      </c>
      <c r="D340" s="1">
        <v>41378</v>
      </c>
      <c r="E340" t="s">
        <v>29</v>
      </c>
      <c r="F340" t="s">
        <v>39</v>
      </c>
      <c r="H340" t="s">
        <v>29</v>
      </c>
      <c r="I340" t="s">
        <v>77</v>
      </c>
      <c r="J340" t="s">
        <v>78</v>
      </c>
      <c r="K340" t="s">
        <v>29</v>
      </c>
      <c r="L340" t="s">
        <v>141</v>
      </c>
      <c r="M340" t="s">
        <v>134</v>
      </c>
      <c r="N340" t="s">
        <v>135</v>
      </c>
    </row>
    <row r="341" spans="1:14" x14ac:dyDescent="0.2">
      <c r="A341">
        <v>598014</v>
      </c>
      <c r="B341">
        <f>YEAR(#REF!)</f>
        <v>2013</v>
      </c>
      <c r="C341" t="s">
        <v>505</v>
      </c>
      <c r="D341" s="1">
        <v>41378</v>
      </c>
      <c r="E341" t="s">
        <v>14</v>
      </c>
      <c r="F341" t="s">
        <v>33</v>
      </c>
      <c r="H341" t="s">
        <v>14</v>
      </c>
      <c r="I341" t="s">
        <v>89</v>
      </c>
      <c r="J341" t="s">
        <v>78</v>
      </c>
      <c r="K341" t="s">
        <v>14</v>
      </c>
      <c r="L341" t="s">
        <v>256</v>
      </c>
      <c r="M341" t="s">
        <v>153</v>
      </c>
      <c r="N341" t="s">
        <v>85</v>
      </c>
    </row>
    <row r="342" spans="1:14" x14ac:dyDescent="0.2">
      <c r="A342">
        <v>598015</v>
      </c>
      <c r="B342">
        <f>YEAR(#REF!)</f>
        <v>2013</v>
      </c>
      <c r="C342" t="s">
        <v>505</v>
      </c>
      <c r="D342" s="1">
        <v>41379</v>
      </c>
      <c r="E342" t="s">
        <v>15</v>
      </c>
      <c r="F342" t="s">
        <v>160</v>
      </c>
      <c r="H342" t="s">
        <v>160</v>
      </c>
      <c r="I342" t="s">
        <v>77</v>
      </c>
      <c r="J342" t="s">
        <v>78</v>
      </c>
      <c r="K342" t="s">
        <v>160</v>
      </c>
      <c r="L342" t="s">
        <v>237</v>
      </c>
      <c r="M342" t="s">
        <v>120</v>
      </c>
      <c r="N342" t="s">
        <v>107</v>
      </c>
    </row>
    <row r="343" spans="1:14" x14ac:dyDescent="0.2">
      <c r="A343">
        <v>598016</v>
      </c>
      <c r="B343">
        <f>YEAR(#REF!)</f>
        <v>2013</v>
      </c>
      <c r="C343" t="s">
        <v>505</v>
      </c>
      <c r="D343" s="1">
        <v>41380</v>
      </c>
      <c r="E343" t="s">
        <v>33</v>
      </c>
      <c r="F343" t="s">
        <v>29</v>
      </c>
      <c r="H343" t="s">
        <v>29</v>
      </c>
      <c r="I343" t="s">
        <v>89</v>
      </c>
      <c r="J343" t="s">
        <v>78</v>
      </c>
      <c r="K343" t="s">
        <v>33</v>
      </c>
      <c r="L343" t="s">
        <v>321</v>
      </c>
      <c r="M343" t="s">
        <v>112</v>
      </c>
      <c r="N343" t="s">
        <v>95</v>
      </c>
    </row>
    <row r="344" spans="1:14" x14ac:dyDescent="0.2">
      <c r="A344">
        <v>598017</v>
      </c>
      <c r="B344">
        <f>YEAR(#REF!)</f>
        <v>2013</v>
      </c>
      <c r="C344" t="s">
        <v>505</v>
      </c>
      <c r="D344" s="1">
        <v>41380</v>
      </c>
      <c r="E344" t="s">
        <v>20</v>
      </c>
      <c r="F344" t="s">
        <v>76</v>
      </c>
      <c r="H344" t="s">
        <v>20</v>
      </c>
      <c r="I344" t="s">
        <v>89</v>
      </c>
      <c r="J344" t="s">
        <v>310</v>
      </c>
      <c r="K344" t="s">
        <v>79</v>
      </c>
      <c r="L344" t="s">
        <v>257</v>
      </c>
      <c r="M344" t="s">
        <v>196</v>
      </c>
      <c r="N344" t="s">
        <v>197</v>
      </c>
    </row>
    <row r="345" spans="1:14" x14ac:dyDescent="0.2">
      <c r="A345">
        <v>598018</v>
      </c>
      <c r="B345">
        <f>YEAR(#REF!)</f>
        <v>2013</v>
      </c>
      <c r="C345" t="s">
        <v>505</v>
      </c>
      <c r="D345" s="1">
        <v>41381</v>
      </c>
      <c r="E345" t="s">
        <v>160</v>
      </c>
      <c r="F345" t="s">
        <v>39</v>
      </c>
      <c r="H345" t="s">
        <v>160</v>
      </c>
      <c r="I345" t="s">
        <v>89</v>
      </c>
      <c r="J345" t="s">
        <v>78</v>
      </c>
      <c r="K345" t="s">
        <v>39</v>
      </c>
      <c r="L345" t="s">
        <v>151</v>
      </c>
      <c r="M345" t="s">
        <v>255</v>
      </c>
      <c r="N345" t="s">
        <v>163</v>
      </c>
    </row>
    <row r="346" spans="1:14" x14ac:dyDescent="0.2">
      <c r="A346">
        <v>598019</v>
      </c>
      <c r="B346">
        <f>YEAR(#REF!)</f>
        <v>2013</v>
      </c>
      <c r="C346" t="s">
        <v>505</v>
      </c>
      <c r="D346" s="1">
        <v>41381</v>
      </c>
      <c r="E346" t="s">
        <v>14</v>
      </c>
      <c r="F346" t="s">
        <v>24</v>
      </c>
      <c r="H346" t="s">
        <v>14</v>
      </c>
      <c r="I346" t="s">
        <v>77</v>
      </c>
      <c r="J346" t="s">
        <v>78</v>
      </c>
      <c r="K346" t="s">
        <v>14</v>
      </c>
      <c r="L346" t="s">
        <v>263</v>
      </c>
      <c r="M346" t="s">
        <v>153</v>
      </c>
      <c r="N346" t="s">
        <v>85</v>
      </c>
    </row>
    <row r="347" spans="1:14" x14ac:dyDescent="0.2">
      <c r="A347">
        <v>598020</v>
      </c>
      <c r="B347">
        <f>YEAR(#REF!)</f>
        <v>2013</v>
      </c>
      <c r="C347" t="s">
        <v>505</v>
      </c>
      <c r="D347" s="1">
        <v>41382</v>
      </c>
      <c r="E347" t="s">
        <v>76</v>
      </c>
      <c r="F347" t="s">
        <v>15</v>
      </c>
      <c r="H347" t="s">
        <v>15</v>
      </c>
      <c r="I347" t="s">
        <v>77</v>
      </c>
      <c r="J347" t="s">
        <v>78</v>
      </c>
      <c r="K347" t="s">
        <v>15</v>
      </c>
      <c r="L347" t="s">
        <v>142</v>
      </c>
      <c r="M347" t="s">
        <v>87</v>
      </c>
      <c r="N347" t="s">
        <v>88</v>
      </c>
    </row>
    <row r="348" spans="1:14" x14ac:dyDescent="0.2">
      <c r="A348">
        <v>598021</v>
      </c>
      <c r="B348">
        <f>YEAR(#REF!)</f>
        <v>2013</v>
      </c>
      <c r="C348" t="s">
        <v>505</v>
      </c>
      <c r="D348" s="1">
        <v>41383</v>
      </c>
      <c r="E348" t="s">
        <v>39</v>
      </c>
      <c r="F348" t="s">
        <v>33</v>
      </c>
      <c r="H348" t="s">
        <v>33</v>
      </c>
      <c r="I348" t="s">
        <v>77</v>
      </c>
      <c r="J348" t="s">
        <v>78</v>
      </c>
      <c r="K348" t="s">
        <v>39</v>
      </c>
      <c r="L348" t="s">
        <v>425</v>
      </c>
      <c r="M348" t="s">
        <v>164</v>
      </c>
      <c r="N348" t="s">
        <v>145</v>
      </c>
    </row>
    <row r="349" spans="1:14" x14ac:dyDescent="0.2">
      <c r="A349">
        <v>598022</v>
      </c>
      <c r="B349">
        <f>YEAR(#REF!)</f>
        <v>2013</v>
      </c>
      <c r="C349" t="s">
        <v>505</v>
      </c>
      <c r="D349" s="1">
        <v>41384</v>
      </c>
      <c r="E349" t="s">
        <v>29</v>
      </c>
      <c r="F349" t="s">
        <v>15</v>
      </c>
      <c r="H349" t="s">
        <v>29</v>
      </c>
      <c r="I349" t="s">
        <v>77</v>
      </c>
      <c r="J349" t="s">
        <v>78</v>
      </c>
      <c r="K349" t="s">
        <v>15</v>
      </c>
      <c r="L349" t="s">
        <v>179</v>
      </c>
      <c r="M349" t="s">
        <v>134</v>
      </c>
      <c r="N349" t="s">
        <v>135</v>
      </c>
    </row>
    <row r="350" spans="1:14" x14ac:dyDescent="0.2">
      <c r="A350">
        <v>598023</v>
      </c>
      <c r="B350">
        <f>YEAR(#REF!)</f>
        <v>2013</v>
      </c>
      <c r="C350" t="s">
        <v>505</v>
      </c>
      <c r="D350" s="1">
        <v>41384</v>
      </c>
      <c r="E350" t="s">
        <v>20</v>
      </c>
      <c r="F350" t="s">
        <v>14</v>
      </c>
      <c r="H350" t="s">
        <v>20</v>
      </c>
      <c r="I350" t="s">
        <v>89</v>
      </c>
      <c r="J350" t="s">
        <v>78</v>
      </c>
      <c r="K350" t="s">
        <v>20</v>
      </c>
      <c r="L350" t="s">
        <v>407</v>
      </c>
      <c r="M350" t="s">
        <v>196</v>
      </c>
      <c r="N350" t="s">
        <v>197</v>
      </c>
    </row>
    <row r="351" spans="1:14" x14ac:dyDescent="0.2">
      <c r="A351">
        <v>598024</v>
      </c>
      <c r="B351">
        <f>YEAR(#REF!)</f>
        <v>2013</v>
      </c>
      <c r="C351" t="s">
        <v>505</v>
      </c>
      <c r="D351" s="1">
        <v>41385</v>
      </c>
      <c r="E351" t="s">
        <v>76</v>
      </c>
      <c r="F351" t="s">
        <v>24</v>
      </c>
      <c r="H351" t="s">
        <v>24</v>
      </c>
      <c r="I351" t="s">
        <v>77</v>
      </c>
      <c r="J351" t="s">
        <v>78</v>
      </c>
      <c r="K351" t="s">
        <v>76</v>
      </c>
      <c r="L351" t="s">
        <v>319</v>
      </c>
      <c r="M351" t="s">
        <v>87</v>
      </c>
      <c r="N351" t="s">
        <v>88</v>
      </c>
    </row>
    <row r="352" spans="1:14" x14ac:dyDescent="0.2">
      <c r="A352">
        <v>598025</v>
      </c>
      <c r="B352">
        <f>YEAR(#REF!)</f>
        <v>2013</v>
      </c>
      <c r="C352" t="s">
        <v>505</v>
      </c>
      <c r="D352" s="1">
        <v>41385</v>
      </c>
      <c r="E352" t="s">
        <v>33</v>
      </c>
      <c r="F352" t="s">
        <v>160</v>
      </c>
      <c r="H352" t="s">
        <v>33</v>
      </c>
      <c r="I352" t="s">
        <v>89</v>
      </c>
      <c r="J352" t="s">
        <v>78</v>
      </c>
      <c r="K352" t="s">
        <v>33</v>
      </c>
      <c r="L352" t="s">
        <v>328</v>
      </c>
      <c r="M352" t="s">
        <v>112</v>
      </c>
      <c r="N352" t="s">
        <v>95</v>
      </c>
    </row>
    <row r="353" spans="1:14" x14ac:dyDescent="0.2">
      <c r="A353">
        <v>598026</v>
      </c>
      <c r="B353">
        <f>YEAR(#REF!)</f>
        <v>2013</v>
      </c>
      <c r="C353" t="s">
        <v>505</v>
      </c>
      <c r="D353" s="1">
        <v>41386</v>
      </c>
      <c r="E353" t="s">
        <v>15</v>
      </c>
      <c r="F353" t="s">
        <v>14</v>
      </c>
      <c r="H353" t="s">
        <v>14</v>
      </c>
      <c r="I353" t="s">
        <v>77</v>
      </c>
      <c r="J353" t="s">
        <v>78</v>
      </c>
      <c r="K353" t="s">
        <v>15</v>
      </c>
      <c r="L353" t="s">
        <v>142</v>
      </c>
      <c r="M353" t="s">
        <v>120</v>
      </c>
      <c r="N353" t="s">
        <v>107</v>
      </c>
    </row>
    <row r="354" spans="1:14" x14ac:dyDescent="0.2">
      <c r="A354">
        <v>598059</v>
      </c>
      <c r="B354">
        <f>YEAR(#REF!)</f>
        <v>2013</v>
      </c>
      <c r="C354" t="s">
        <v>505</v>
      </c>
      <c r="D354" s="1">
        <v>41387</v>
      </c>
      <c r="E354" t="s">
        <v>76</v>
      </c>
      <c r="F354" t="s">
        <v>33</v>
      </c>
      <c r="H354" t="s">
        <v>33</v>
      </c>
      <c r="I354" t="s">
        <v>89</v>
      </c>
      <c r="J354" t="s">
        <v>78</v>
      </c>
      <c r="K354" t="s">
        <v>33</v>
      </c>
      <c r="L354" t="s">
        <v>365</v>
      </c>
      <c r="M354" t="s">
        <v>87</v>
      </c>
      <c r="N354" t="s">
        <v>88</v>
      </c>
    </row>
    <row r="355" spans="1:14" x14ac:dyDescent="0.2">
      <c r="A355">
        <v>598027</v>
      </c>
      <c r="B355">
        <f>YEAR(#REF!)</f>
        <v>2013</v>
      </c>
      <c r="C355" t="s">
        <v>505</v>
      </c>
      <c r="D355" s="1">
        <v>41387</v>
      </c>
      <c r="E355" t="s">
        <v>20</v>
      </c>
      <c r="F355" t="s">
        <v>160</v>
      </c>
      <c r="H355" t="s">
        <v>160</v>
      </c>
      <c r="I355" t="s">
        <v>89</v>
      </c>
      <c r="J355" t="s">
        <v>78</v>
      </c>
      <c r="K355" t="s">
        <v>20</v>
      </c>
      <c r="L355" t="s">
        <v>214</v>
      </c>
      <c r="M355" t="s">
        <v>196</v>
      </c>
      <c r="N355" t="s">
        <v>197</v>
      </c>
    </row>
    <row r="356" spans="1:14" x14ac:dyDescent="0.2">
      <c r="A356">
        <v>598029</v>
      </c>
      <c r="B356">
        <f>YEAR(#REF!)</f>
        <v>2013</v>
      </c>
      <c r="C356" t="s">
        <v>505</v>
      </c>
      <c r="D356" s="1">
        <v>41388</v>
      </c>
      <c r="E356" t="s">
        <v>29</v>
      </c>
      <c r="F356" t="s">
        <v>24</v>
      </c>
      <c r="H356" t="s">
        <v>29</v>
      </c>
      <c r="I356" t="s">
        <v>77</v>
      </c>
      <c r="J356" t="s">
        <v>78</v>
      </c>
      <c r="K356" t="s">
        <v>24</v>
      </c>
      <c r="L356" t="s">
        <v>158</v>
      </c>
      <c r="M356" t="s">
        <v>134</v>
      </c>
      <c r="N356" t="s">
        <v>135</v>
      </c>
    </row>
    <row r="357" spans="1:14" x14ac:dyDescent="0.2">
      <c r="A357">
        <v>598030</v>
      </c>
      <c r="B357">
        <f>YEAR(#REF!)</f>
        <v>2013</v>
      </c>
      <c r="C357" t="s">
        <v>505</v>
      </c>
      <c r="D357" s="1">
        <v>41389</v>
      </c>
      <c r="E357" t="s">
        <v>15</v>
      </c>
      <c r="F357" t="s">
        <v>39</v>
      </c>
      <c r="H357" t="s">
        <v>39</v>
      </c>
      <c r="I357" t="s">
        <v>77</v>
      </c>
      <c r="J357" t="s">
        <v>78</v>
      </c>
      <c r="K357" t="s">
        <v>15</v>
      </c>
      <c r="L357" t="s">
        <v>119</v>
      </c>
      <c r="M357" t="s">
        <v>120</v>
      </c>
      <c r="N357" t="s">
        <v>107</v>
      </c>
    </row>
    <row r="358" spans="1:14" x14ac:dyDescent="0.2">
      <c r="A358">
        <v>598031</v>
      </c>
      <c r="B358">
        <f>YEAR(#REF!)</f>
        <v>2013</v>
      </c>
      <c r="C358" t="s">
        <v>505</v>
      </c>
      <c r="D358" s="1">
        <v>41390</v>
      </c>
      <c r="E358" t="s">
        <v>29</v>
      </c>
      <c r="F358" t="s">
        <v>33</v>
      </c>
      <c r="H358" t="s">
        <v>33</v>
      </c>
      <c r="I358" t="s">
        <v>77</v>
      </c>
      <c r="J358" t="s">
        <v>78</v>
      </c>
      <c r="K358" t="s">
        <v>29</v>
      </c>
      <c r="L358" t="s">
        <v>249</v>
      </c>
      <c r="M358" t="s">
        <v>134</v>
      </c>
      <c r="N358" t="s">
        <v>135</v>
      </c>
    </row>
    <row r="359" spans="1:14" x14ac:dyDescent="0.2">
      <c r="A359">
        <v>598033</v>
      </c>
      <c r="B359">
        <f>YEAR(#REF!)</f>
        <v>2013</v>
      </c>
      <c r="C359" t="s">
        <v>505</v>
      </c>
      <c r="D359" s="1">
        <v>41391</v>
      </c>
      <c r="E359" t="s">
        <v>24</v>
      </c>
      <c r="F359" t="s">
        <v>20</v>
      </c>
      <c r="H359" t="s">
        <v>24</v>
      </c>
      <c r="I359" t="s">
        <v>77</v>
      </c>
      <c r="J359" t="s">
        <v>78</v>
      </c>
      <c r="K359" t="s">
        <v>24</v>
      </c>
      <c r="L359" t="s">
        <v>158</v>
      </c>
      <c r="M359" t="s">
        <v>97</v>
      </c>
      <c r="N359" t="s">
        <v>92</v>
      </c>
    </row>
    <row r="360" spans="1:14" x14ac:dyDescent="0.2">
      <c r="A360">
        <v>598032</v>
      </c>
      <c r="B360">
        <f>YEAR(#REF!)</f>
        <v>2013</v>
      </c>
      <c r="C360" t="s">
        <v>505</v>
      </c>
      <c r="D360" s="1">
        <v>41391</v>
      </c>
      <c r="E360" t="s">
        <v>14</v>
      </c>
      <c r="F360" t="s">
        <v>39</v>
      </c>
      <c r="H360" t="s">
        <v>39</v>
      </c>
      <c r="I360" t="s">
        <v>77</v>
      </c>
      <c r="J360" t="s">
        <v>78</v>
      </c>
      <c r="K360" t="s">
        <v>14</v>
      </c>
      <c r="L360" t="s">
        <v>256</v>
      </c>
      <c r="M360" t="s">
        <v>153</v>
      </c>
      <c r="N360" t="s">
        <v>85</v>
      </c>
    </row>
    <row r="361" spans="1:14" x14ac:dyDescent="0.2">
      <c r="A361">
        <v>598034</v>
      </c>
      <c r="B361">
        <f>YEAR(#REF!)</f>
        <v>2013</v>
      </c>
      <c r="C361" t="s">
        <v>505</v>
      </c>
      <c r="D361" s="1">
        <v>41392</v>
      </c>
      <c r="E361" t="s">
        <v>15</v>
      </c>
      <c r="F361" t="s">
        <v>29</v>
      </c>
      <c r="H361" t="s">
        <v>29</v>
      </c>
      <c r="I361" t="s">
        <v>89</v>
      </c>
      <c r="J361" t="s">
        <v>78</v>
      </c>
      <c r="K361" t="s">
        <v>15</v>
      </c>
      <c r="L361" t="s">
        <v>142</v>
      </c>
      <c r="M361" t="s">
        <v>120</v>
      </c>
      <c r="N361" t="s">
        <v>107</v>
      </c>
    </row>
    <row r="362" spans="1:14" x14ac:dyDescent="0.2">
      <c r="A362">
        <v>598035</v>
      </c>
      <c r="B362">
        <f>YEAR(#REF!)</f>
        <v>2013</v>
      </c>
      <c r="C362" t="s">
        <v>505</v>
      </c>
      <c r="D362" s="1">
        <v>41392</v>
      </c>
      <c r="E362" t="s">
        <v>76</v>
      </c>
      <c r="F362" t="s">
        <v>160</v>
      </c>
      <c r="H362" t="s">
        <v>160</v>
      </c>
      <c r="I362" t="s">
        <v>89</v>
      </c>
      <c r="J362" t="s">
        <v>78</v>
      </c>
      <c r="K362" t="s">
        <v>76</v>
      </c>
      <c r="L362" t="s">
        <v>80</v>
      </c>
      <c r="M362" t="s">
        <v>81</v>
      </c>
      <c r="N362" t="s">
        <v>82</v>
      </c>
    </row>
    <row r="363" spans="1:14" x14ac:dyDescent="0.2">
      <c r="A363">
        <v>598036</v>
      </c>
      <c r="B363">
        <f>YEAR(#REF!)</f>
        <v>2013</v>
      </c>
      <c r="C363" t="s">
        <v>505</v>
      </c>
      <c r="D363" s="1">
        <v>41393</v>
      </c>
      <c r="E363" t="s">
        <v>14</v>
      </c>
      <c r="F363" t="s">
        <v>20</v>
      </c>
      <c r="H363" t="s">
        <v>14</v>
      </c>
      <c r="I363" t="s">
        <v>89</v>
      </c>
      <c r="J363" t="s">
        <v>78</v>
      </c>
      <c r="K363" t="s">
        <v>14</v>
      </c>
      <c r="L363" t="s">
        <v>187</v>
      </c>
      <c r="M363" t="s">
        <v>153</v>
      </c>
      <c r="N363" t="s">
        <v>85</v>
      </c>
    </row>
    <row r="364" spans="1:14" x14ac:dyDescent="0.2">
      <c r="A364">
        <v>598037</v>
      </c>
      <c r="B364">
        <f>YEAR(#REF!)</f>
        <v>2013</v>
      </c>
      <c r="C364" t="s">
        <v>505</v>
      </c>
      <c r="D364" s="1">
        <v>41393</v>
      </c>
      <c r="E364" t="s">
        <v>24</v>
      </c>
      <c r="F364" t="s">
        <v>33</v>
      </c>
      <c r="H364" t="s">
        <v>24</v>
      </c>
      <c r="I364" t="s">
        <v>77</v>
      </c>
      <c r="J364" t="s">
        <v>78</v>
      </c>
      <c r="K364" t="s">
        <v>24</v>
      </c>
      <c r="L364" t="s">
        <v>96</v>
      </c>
      <c r="M364" t="s">
        <v>97</v>
      </c>
      <c r="N364" t="s">
        <v>92</v>
      </c>
    </row>
    <row r="365" spans="1:14" x14ac:dyDescent="0.2">
      <c r="A365">
        <v>598038</v>
      </c>
      <c r="B365">
        <f>YEAR(#REF!)</f>
        <v>2013</v>
      </c>
      <c r="C365" t="s">
        <v>505</v>
      </c>
      <c r="D365" s="1">
        <v>41394</v>
      </c>
      <c r="E365" t="s">
        <v>160</v>
      </c>
      <c r="F365" t="s">
        <v>15</v>
      </c>
      <c r="H365" t="s">
        <v>15</v>
      </c>
      <c r="I365" t="s">
        <v>77</v>
      </c>
      <c r="J365" t="s">
        <v>78</v>
      </c>
      <c r="K365" t="s">
        <v>15</v>
      </c>
      <c r="L365" t="s">
        <v>119</v>
      </c>
      <c r="M365" t="s">
        <v>162</v>
      </c>
      <c r="N365" t="s">
        <v>163</v>
      </c>
    </row>
    <row r="366" spans="1:14" x14ac:dyDescent="0.2">
      <c r="A366">
        <v>598040</v>
      </c>
      <c r="B366">
        <f>YEAR(#REF!)</f>
        <v>2013</v>
      </c>
      <c r="C366" t="s">
        <v>505</v>
      </c>
      <c r="D366" s="1">
        <v>41395</v>
      </c>
      <c r="E366" t="s">
        <v>76</v>
      </c>
      <c r="F366" t="s">
        <v>29</v>
      </c>
      <c r="H366" t="s">
        <v>29</v>
      </c>
      <c r="I366" t="s">
        <v>77</v>
      </c>
      <c r="J366" t="s">
        <v>78</v>
      </c>
      <c r="K366" t="s">
        <v>76</v>
      </c>
      <c r="L366" t="s">
        <v>80</v>
      </c>
      <c r="M366" t="s">
        <v>81</v>
      </c>
      <c r="N366" t="s">
        <v>82</v>
      </c>
    </row>
    <row r="367" spans="1:14" x14ac:dyDescent="0.2">
      <c r="A367">
        <v>598039</v>
      </c>
      <c r="B367">
        <f>YEAR(#REF!)</f>
        <v>2013</v>
      </c>
      <c r="C367" t="s">
        <v>505</v>
      </c>
      <c r="D367" s="1">
        <v>41395</v>
      </c>
      <c r="E367" t="s">
        <v>39</v>
      </c>
      <c r="F367" t="s">
        <v>24</v>
      </c>
      <c r="H367" t="s">
        <v>24</v>
      </c>
      <c r="I367" t="s">
        <v>77</v>
      </c>
      <c r="J367" t="s">
        <v>78</v>
      </c>
      <c r="K367" t="s">
        <v>39</v>
      </c>
      <c r="L367" t="s">
        <v>320</v>
      </c>
      <c r="M367" t="s">
        <v>164</v>
      </c>
      <c r="N367" t="s">
        <v>145</v>
      </c>
    </row>
    <row r="368" spans="1:14" x14ac:dyDescent="0.2">
      <c r="A368">
        <v>598041</v>
      </c>
      <c r="B368">
        <f>YEAR(#REF!)</f>
        <v>2013</v>
      </c>
      <c r="C368" t="s">
        <v>505</v>
      </c>
      <c r="D368" s="1">
        <v>41396</v>
      </c>
      <c r="E368" t="s">
        <v>15</v>
      </c>
      <c r="F368" t="s">
        <v>33</v>
      </c>
      <c r="H368" t="s">
        <v>15</v>
      </c>
      <c r="I368" t="s">
        <v>77</v>
      </c>
      <c r="J368" t="s">
        <v>78</v>
      </c>
      <c r="K368" t="s">
        <v>15</v>
      </c>
      <c r="L368" t="s">
        <v>259</v>
      </c>
      <c r="M368" t="s">
        <v>120</v>
      </c>
      <c r="N368" t="s">
        <v>107</v>
      </c>
    </row>
    <row r="369" spans="1:14" x14ac:dyDescent="0.2">
      <c r="A369">
        <v>598042</v>
      </c>
      <c r="B369">
        <f>YEAR(#REF!)</f>
        <v>2013</v>
      </c>
      <c r="C369" t="s">
        <v>505</v>
      </c>
      <c r="D369" s="1">
        <v>41396</v>
      </c>
      <c r="E369" t="s">
        <v>160</v>
      </c>
      <c r="F369" t="s">
        <v>20</v>
      </c>
      <c r="H369" t="s">
        <v>20</v>
      </c>
      <c r="I369" t="s">
        <v>77</v>
      </c>
      <c r="J369" t="s">
        <v>78</v>
      </c>
      <c r="K369" t="s">
        <v>20</v>
      </c>
      <c r="L369" t="s">
        <v>38</v>
      </c>
      <c r="M369" t="s">
        <v>162</v>
      </c>
      <c r="N369" t="s">
        <v>163</v>
      </c>
    </row>
    <row r="370" spans="1:14" x14ac:dyDescent="0.2">
      <c r="A370">
        <v>598043</v>
      </c>
      <c r="B370">
        <f>YEAR(#REF!)</f>
        <v>2013</v>
      </c>
      <c r="C370" t="s">
        <v>505</v>
      </c>
      <c r="D370" s="1">
        <v>41397</v>
      </c>
      <c r="E370" t="s">
        <v>29</v>
      </c>
      <c r="F370" t="s">
        <v>14</v>
      </c>
      <c r="H370" t="s">
        <v>14</v>
      </c>
      <c r="I370" t="s">
        <v>77</v>
      </c>
      <c r="J370" t="s">
        <v>78</v>
      </c>
      <c r="K370" t="s">
        <v>29</v>
      </c>
      <c r="L370" t="s">
        <v>199</v>
      </c>
      <c r="M370" t="s">
        <v>134</v>
      </c>
      <c r="N370" t="s">
        <v>135</v>
      </c>
    </row>
    <row r="371" spans="1:14" x14ac:dyDescent="0.2">
      <c r="A371">
        <v>598044</v>
      </c>
      <c r="B371">
        <f>YEAR(#REF!)</f>
        <v>2013</v>
      </c>
      <c r="C371" t="s">
        <v>505</v>
      </c>
      <c r="D371" s="1">
        <v>41398</v>
      </c>
      <c r="E371" t="s">
        <v>39</v>
      </c>
      <c r="F371" t="s">
        <v>76</v>
      </c>
      <c r="H371" t="s">
        <v>76</v>
      </c>
      <c r="I371" t="s">
        <v>77</v>
      </c>
      <c r="J371" t="s">
        <v>78</v>
      </c>
      <c r="K371" t="s">
        <v>39</v>
      </c>
      <c r="L371" t="s">
        <v>386</v>
      </c>
      <c r="M371" t="s">
        <v>164</v>
      </c>
      <c r="N371" t="s">
        <v>145</v>
      </c>
    </row>
    <row r="372" spans="1:14" x14ac:dyDescent="0.2">
      <c r="A372">
        <v>598047</v>
      </c>
      <c r="B372">
        <f>YEAR(#REF!)</f>
        <v>2013</v>
      </c>
      <c r="C372" t="s">
        <v>505</v>
      </c>
      <c r="D372" s="1">
        <v>41399</v>
      </c>
      <c r="E372" t="s">
        <v>14</v>
      </c>
      <c r="F372" t="s">
        <v>160</v>
      </c>
      <c r="H372" t="s">
        <v>160</v>
      </c>
      <c r="I372" t="s">
        <v>77</v>
      </c>
      <c r="J372" t="s">
        <v>78</v>
      </c>
      <c r="K372" t="s">
        <v>14</v>
      </c>
      <c r="L372" t="s">
        <v>263</v>
      </c>
      <c r="M372" t="s">
        <v>153</v>
      </c>
      <c r="N372" t="s">
        <v>85</v>
      </c>
    </row>
    <row r="373" spans="1:14" x14ac:dyDescent="0.2">
      <c r="A373">
        <v>598046</v>
      </c>
      <c r="B373">
        <f>YEAR(#REF!)</f>
        <v>2013</v>
      </c>
      <c r="C373" t="s">
        <v>505</v>
      </c>
      <c r="D373" s="1">
        <v>41399</v>
      </c>
      <c r="E373" t="s">
        <v>24</v>
      </c>
      <c r="F373" t="s">
        <v>15</v>
      </c>
      <c r="H373" t="s">
        <v>24</v>
      </c>
      <c r="I373" t="s">
        <v>77</v>
      </c>
      <c r="J373" t="s">
        <v>78</v>
      </c>
      <c r="K373" t="s">
        <v>24</v>
      </c>
      <c r="L373" t="s">
        <v>385</v>
      </c>
      <c r="M373" t="s">
        <v>97</v>
      </c>
      <c r="N373" t="s">
        <v>92</v>
      </c>
    </row>
    <row r="374" spans="1:14" x14ac:dyDescent="0.2">
      <c r="A374">
        <v>598064</v>
      </c>
      <c r="B374">
        <f>YEAR(#REF!)</f>
        <v>2013</v>
      </c>
      <c r="C374" t="s">
        <v>505</v>
      </c>
      <c r="D374" s="1">
        <v>41400</v>
      </c>
      <c r="E374" t="s">
        <v>33</v>
      </c>
      <c r="F374" t="s">
        <v>20</v>
      </c>
      <c r="H374" t="s">
        <v>33</v>
      </c>
      <c r="I374" t="s">
        <v>89</v>
      </c>
      <c r="J374" t="s">
        <v>78</v>
      </c>
      <c r="K374" t="s">
        <v>33</v>
      </c>
      <c r="L374" t="s">
        <v>328</v>
      </c>
      <c r="M374" t="s">
        <v>112</v>
      </c>
      <c r="N374" t="s">
        <v>95</v>
      </c>
    </row>
    <row r="375" spans="1:14" x14ac:dyDescent="0.2">
      <c r="A375">
        <v>598050</v>
      </c>
      <c r="B375">
        <f>YEAR(#REF!)</f>
        <v>2013</v>
      </c>
      <c r="C375" t="s">
        <v>505</v>
      </c>
      <c r="D375" s="1">
        <v>41401</v>
      </c>
      <c r="E375" t="s">
        <v>24</v>
      </c>
      <c r="F375" t="s">
        <v>29</v>
      </c>
      <c r="H375" t="s">
        <v>24</v>
      </c>
      <c r="I375" t="s">
        <v>77</v>
      </c>
      <c r="J375" t="s">
        <v>78</v>
      </c>
      <c r="K375" t="s">
        <v>24</v>
      </c>
      <c r="L375" t="s">
        <v>326</v>
      </c>
      <c r="M375" t="s">
        <v>97</v>
      </c>
      <c r="N375" t="s">
        <v>92</v>
      </c>
    </row>
    <row r="376" spans="1:14" x14ac:dyDescent="0.2">
      <c r="A376">
        <v>598049</v>
      </c>
      <c r="B376">
        <f>YEAR(#REF!)</f>
        <v>2013</v>
      </c>
      <c r="C376" t="s">
        <v>505</v>
      </c>
      <c r="D376" s="1">
        <v>41401</v>
      </c>
      <c r="E376" t="s">
        <v>14</v>
      </c>
      <c r="F376" t="s">
        <v>76</v>
      </c>
      <c r="H376" t="s">
        <v>76</v>
      </c>
      <c r="I376" t="s">
        <v>77</v>
      </c>
      <c r="J376" t="s">
        <v>78</v>
      </c>
      <c r="K376" t="s">
        <v>14</v>
      </c>
      <c r="L376" t="s">
        <v>263</v>
      </c>
      <c r="M376" t="s">
        <v>153</v>
      </c>
      <c r="N376" t="s">
        <v>85</v>
      </c>
    </row>
    <row r="377" spans="1:14" x14ac:dyDescent="0.2">
      <c r="A377">
        <v>598051</v>
      </c>
      <c r="B377">
        <f>YEAR(#REF!)</f>
        <v>2013</v>
      </c>
      <c r="C377" t="s">
        <v>505</v>
      </c>
      <c r="D377" s="1">
        <v>41402</v>
      </c>
      <c r="E377" t="s">
        <v>39</v>
      </c>
      <c r="F377" t="s">
        <v>15</v>
      </c>
      <c r="H377" t="s">
        <v>39</v>
      </c>
      <c r="I377" t="s">
        <v>89</v>
      </c>
      <c r="J377" t="s">
        <v>78</v>
      </c>
      <c r="K377" t="s">
        <v>15</v>
      </c>
      <c r="L377" t="s">
        <v>259</v>
      </c>
      <c r="M377" t="s">
        <v>164</v>
      </c>
      <c r="N377" t="s">
        <v>145</v>
      </c>
    </row>
    <row r="378" spans="1:14" x14ac:dyDescent="0.2">
      <c r="A378">
        <v>598052</v>
      </c>
      <c r="B378">
        <f>YEAR(#REF!)</f>
        <v>2013</v>
      </c>
      <c r="C378" t="s">
        <v>505</v>
      </c>
      <c r="D378" s="1">
        <v>41403</v>
      </c>
      <c r="E378" t="s">
        <v>33</v>
      </c>
      <c r="F378" t="s">
        <v>14</v>
      </c>
      <c r="H378" t="s">
        <v>14</v>
      </c>
      <c r="I378" t="s">
        <v>89</v>
      </c>
      <c r="J378" t="s">
        <v>78</v>
      </c>
      <c r="K378" t="s">
        <v>14</v>
      </c>
      <c r="L378" t="s">
        <v>382</v>
      </c>
      <c r="M378" t="s">
        <v>112</v>
      </c>
      <c r="N378" t="s">
        <v>95</v>
      </c>
    </row>
    <row r="379" spans="1:14" x14ac:dyDescent="0.2">
      <c r="A379">
        <v>598053</v>
      </c>
      <c r="B379">
        <f>YEAR(#REF!)</f>
        <v>2013</v>
      </c>
      <c r="C379" t="s">
        <v>505</v>
      </c>
      <c r="D379" s="1">
        <v>41403</v>
      </c>
      <c r="E379" t="s">
        <v>160</v>
      </c>
      <c r="F379" t="s">
        <v>29</v>
      </c>
      <c r="H379" t="s">
        <v>29</v>
      </c>
      <c r="I379" t="s">
        <v>77</v>
      </c>
      <c r="J379" t="s">
        <v>78</v>
      </c>
      <c r="K379" t="s">
        <v>29</v>
      </c>
      <c r="L379" t="s">
        <v>141</v>
      </c>
      <c r="M379" t="s">
        <v>162</v>
      </c>
      <c r="N379" t="s">
        <v>163</v>
      </c>
    </row>
    <row r="380" spans="1:14" x14ac:dyDescent="0.2">
      <c r="A380">
        <v>598054</v>
      </c>
      <c r="B380">
        <f>YEAR(#REF!)</f>
        <v>2013</v>
      </c>
      <c r="C380" t="s">
        <v>505</v>
      </c>
      <c r="D380" s="1">
        <v>41404</v>
      </c>
      <c r="E380" t="s">
        <v>76</v>
      </c>
      <c r="F380" t="s">
        <v>20</v>
      </c>
      <c r="H380" t="s">
        <v>76</v>
      </c>
      <c r="I380" t="s">
        <v>89</v>
      </c>
      <c r="J380" t="s">
        <v>78</v>
      </c>
      <c r="K380" t="s">
        <v>20</v>
      </c>
      <c r="L380" t="s">
        <v>186</v>
      </c>
      <c r="M380" t="s">
        <v>87</v>
      </c>
      <c r="N380" t="s">
        <v>88</v>
      </c>
    </row>
    <row r="381" spans="1:14" x14ac:dyDescent="0.2">
      <c r="A381">
        <v>598056</v>
      </c>
      <c r="B381">
        <f>YEAR(#REF!)</f>
        <v>2013</v>
      </c>
      <c r="C381" t="s">
        <v>505</v>
      </c>
      <c r="D381" s="1">
        <v>41405</v>
      </c>
      <c r="E381" t="s">
        <v>33</v>
      </c>
      <c r="F381" t="s">
        <v>39</v>
      </c>
      <c r="H381" t="s">
        <v>33</v>
      </c>
      <c r="I381" t="s">
        <v>89</v>
      </c>
      <c r="J381" t="s">
        <v>78</v>
      </c>
      <c r="K381" t="s">
        <v>39</v>
      </c>
      <c r="L381" t="s">
        <v>111</v>
      </c>
      <c r="M381" t="s">
        <v>112</v>
      </c>
      <c r="N381" t="s">
        <v>95</v>
      </c>
    </row>
    <row r="382" spans="1:14" x14ac:dyDescent="0.2">
      <c r="A382">
        <v>598055</v>
      </c>
      <c r="B382">
        <f>YEAR(#REF!)</f>
        <v>2013</v>
      </c>
      <c r="C382" t="s">
        <v>505</v>
      </c>
      <c r="D382" s="1">
        <v>41405</v>
      </c>
      <c r="E382" t="s">
        <v>160</v>
      </c>
      <c r="F382" t="s">
        <v>24</v>
      </c>
      <c r="H382" t="s">
        <v>160</v>
      </c>
      <c r="I382" t="s">
        <v>77</v>
      </c>
      <c r="J382" t="s">
        <v>78</v>
      </c>
      <c r="K382" t="s">
        <v>24</v>
      </c>
      <c r="L382" t="s">
        <v>385</v>
      </c>
      <c r="M382" t="s">
        <v>162</v>
      </c>
      <c r="N382" t="s">
        <v>163</v>
      </c>
    </row>
    <row r="383" spans="1:14" x14ac:dyDescent="0.2">
      <c r="A383">
        <v>598057</v>
      </c>
      <c r="B383">
        <f>YEAR(#REF!)</f>
        <v>2013</v>
      </c>
      <c r="C383" t="s">
        <v>505</v>
      </c>
      <c r="D383" s="1">
        <v>41406</v>
      </c>
      <c r="E383" t="s">
        <v>29</v>
      </c>
      <c r="F383" t="s">
        <v>20</v>
      </c>
      <c r="H383" t="s">
        <v>29</v>
      </c>
      <c r="I383" t="s">
        <v>89</v>
      </c>
      <c r="J383" t="s">
        <v>78</v>
      </c>
      <c r="K383" t="s">
        <v>29</v>
      </c>
      <c r="L383" t="s">
        <v>249</v>
      </c>
      <c r="M383" t="s">
        <v>115</v>
      </c>
      <c r="N383" t="s">
        <v>116</v>
      </c>
    </row>
    <row r="384" spans="1:14" x14ac:dyDescent="0.2">
      <c r="A384">
        <v>598058</v>
      </c>
      <c r="B384">
        <f>YEAR(#REF!)</f>
        <v>2013</v>
      </c>
      <c r="C384" t="s">
        <v>505</v>
      </c>
      <c r="D384" s="1">
        <v>41406</v>
      </c>
      <c r="E384" t="s">
        <v>14</v>
      </c>
      <c r="F384" t="s">
        <v>15</v>
      </c>
      <c r="H384" t="s">
        <v>14</v>
      </c>
      <c r="I384" t="s">
        <v>89</v>
      </c>
      <c r="J384" t="s">
        <v>78</v>
      </c>
      <c r="K384" t="s">
        <v>14</v>
      </c>
      <c r="L384" t="s">
        <v>166</v>
      </c>
      <c r="M384" t="s">
        <v>153</v>
      </c>
      <c r="N384" t="s">
        <v>85</v>
      </c>
    </row>
    <row r="385" spans="1:14" x14ac:dyDescent="0.2">
      <c r="A385">
        <v>598060</v>
      </c>
      <c r="B385">
        <f>YEAR(#REF!)</f>
        <v>2013</v>
      </c>
      <c r="C385" t="s">
        <v>505</v>
      </c>
      <c r="D385" s="1">
        <v>41407</v>
      </c>
      <c r="E385" t="s">
        <v>24</v>
      </c>
      <c r="F385" t="s">
        <v>39</v>
      </c>
      <c r="H385" t="s">
        <v>39</v>
      </c>
      <c r="I385" t="s">
        <v>77</v>
      </c>
      <c r="J385" t="s">
        <v>78</v>
      </c>
      <c r="K385" t="s">
        <v>24</v>
      </c>
      <c r="L385" t="s">
        <v>123</v>
      </c>
      <c r="M385" t="s">
        <v>97</v>
      </c>
      <c r="N385" t="s">
        <v>92</v>
      </c>
    </row>
    <row r="386" spans="1:14" x14ac:dyDescent="0.2">
      <c r="A386">
        <v>598062</v>
      </c>
      <c r="B386">
        <f>YEAR(#REF!)</f>
        <v>2013</v>
      </c>
      <c r="C386" t="s">
        <v>505</v>
      </c>
      <c r="D386" s="1">
        <v>41408</v>
      </c>
      <c r="E386" t="s">
        <v>15</v>
      </c>
      <c r="F386" t="s">
        <v>76</v>
      </c>
      <c r="H386" t="s">
        <v>15</v>
      </c>
      <c r="I386" t="s">
        <v>77</v>
      </c>
      <c r="J386" t="s">
        <v>78</v>
      </c>
      <c r="K386" t="s">
        <v>15</v>
      </c>
      <c r="L386" t="s">
        <v>119</v>
      </c>
      <c r="M386" t="s">
        <v>120</v>
      </c>
      <c r="N386" t="s">
        <v>107</v>
      </c>
    </row>
    <row r="387" spans="1:14" x14ac:dyDescent="0.2">
      <c r="A387">
        <v>598045</v>
      </c>
      <c r="B387">
        <f>YEAR(#REF!)</f>
        <v>2013</v>
      </c>
      <c r="C387" t="s">
        <v>505</v>
      </c>
      <c r="D387" s="1">
        <v>41408</v>
      </c>
      <c r="E387" t="s">
        <v>20</v>
      </c>
      <c r="F387" t="s">
        <v>33</v>
      </c>
      <c r="H387" t="s">
        <v>33</v>
      </c>
      <c r="I387" t="s">
        <v>89</v>
      </c>
      <c r="J387" t="s">
        <v>78</v>
      </c>
      <c r="K387" t="s">
        <v>33</v>
      </c>
      <c r="L387" t="s">
        <v>174</v>
      </c>
      <c r="M387" t="s">
        <v>196</v>
      </c>
      <c r="N387" t="s">
        <v>197</v>
      </c>
    </row>
    <row r="388" spans="1:14" x14ac:dyDescent="0.2">
      <c r="A388">
        <v>598061</v>
      </c>
      <c r="B388">
        <f>YEAR(#REF!)</f>
        <v>2013</v>
      </c>
      <c r="C388" t="s">
        <v>505</v>
      </c>
      <c r="D388" s="1">
        <v>41409</v>
      </c>
      <c r="E388" t="s">
        <v>29</v>
      </c>
      <c r="F388" t="s">
        <v>160</v>
      </c>
      <c r="H388" t="s">
        <v>29</v>
      </c>
      <c r="I388" t="s">
        <v>89</v>
      </c>
      <c r="J388" t="s">
        <v>78</v>
      </c>
      <c r="K388" t="s">
        <v>160</v>
      </c>
      <c r="L388" t="s">
        <v>253</v>
      </c>
      <c r="M388" t="s">
        <v>115</v>
      </c>
      <c r="N388" t="s">
        <v>116</v>
      </c>
    </row>
    <row r="389" spans="1:14" x14ac:dyDescent="0.2">
      <c r="A389">
        <v>598063</v>
      </c>
      <c r="B389">
        <f>YEAR(#REF!)</f>
        <v>2013</v>
      </c>
      <c r="C389" t="s">
        <v>505</v>
      </c>
      <c r="D389" s="1">
        <v>41409</v>
      </c>
      <c r="E389" t="s">
        <v>24</v>
      </c>
      <c r="F389" t="s">
        <v>14</v>
      </c>
      <c r="H389" t="s">
        <v>14</v>
      </c>
      <c r="I389" t="s">
        <v>89</v>
      </c>
      <c r="J389" t="s">
        <v>78</v>
      </c>
      <c r="K389" t="s">
        <v>24</v>
      </c>
      <c r="L389" t="s">
        <v>293</v>
      </c>
      <c r="M389" t="s">
        <v>97</v>
      </c>
      <c r="N389" t="s">
        <v>92</v>
      </c>
    </row>
    <row r="390" spans="1:14" x14ac:dyDescent="0.2">
      <c r="A390">
        <v>598028</v>
      </c>
      <c r="B390">
        <f>YEAR(#REF!)</f>
        <v>2013</v>
      </c>
      <c r="C390" t="s">
        <v>505</v>
      </c>
      <c r="D390" s="1">
        <v>41410</v>
      </c>
      <c r="E390" t="s">
        <v>33</v>
      </c>
      <c r="F390" t="s">
        <v>76</v>
      </c>
      <c r="H390" t="s">
        <v>76</v>
      </c>
      <c r="I390" t="s">
        <v>89</v>
      </c>
      <c r="J390" t="s">
        <v>78</v>
      </c>
      <c r="K390" t="s">
        <v>33</v>
      </c>
      <c r="L390" t="s">
        <v>328</v>
      </c>
      <c r="M390" t="s">
        <v>175</v>
      </c>
      <c r="N390" t="s">
        <v>176</v>
      </c>
    </row>
    <row r="391" spans="1:14" x14ac:dyDescent="0.2">
      <c r="A391">
        <v>598065</v>
      </c>
      <c r="B391">
        <f>YEAR(#REF!)</f>
        <v>2013</v>
      </c>
      <c r="C391" t="s">
        <v>505</v>
      </c>
      <c r="D391" s="1">
        <v>41411</v>
      </c>
      <c r="E391" t="s">
        <v>39</v>
      </c>
      <c r="F391" t="s">
        <v>14</v>
      </c>
      <c r="H391" t="s">
        <v>39</v>
      </c>
      <c r="I391" t="s">
        <v>77</v>
      </c>
      <c r="J391" t="s">
        <v>78</v>
      </c>
      <c r="K391" t="s">
        <v>39</v>
      </c>
      <c r="L391" t="s">
        <v>151</v>
      </c>
      <c r="M391" t="s">
        <v>164</v>
      </c>
      <c r="N391" t="s">
        <v>145</v>
      </c>
    </row>
    <row r="392" spans="1:14" x14ac:dyDescent="0.2">
      <c r="A392">
        <v>598068</v>
      </c>
      <c r="B392">
        <f>YEAR(#REF!)</f>
        <v>2013</v>
      </c>
      <c r="C392" t="s">
        <v>505</v>
      </c>
      <c r="D392" s="1">
        <v>41412</v>
      </c>
      <c r="E392" t="s">
        <v>20</v>
      </c>
      <c r="F392" t="s">
        <v>15</v>
      </c>
      <c r="H392" t="s">
        <v>15</v>
      </c>
      <c r="I392" t="s">
        <v>89</v>
      </c>
      <c r="J392" t="s">
        <v>78</v>
      </c>
      <c r="K392" t="s">
        <v>20</v>
      </c>
      <c r="L392" t="s">
        <v>257</v>
      </c>
      <c r="M392" t="s">
        <v>196</v>
      </c>
      <c r="N392" t="s">
        <v>197</v>
      </c>
    </row>
    <row r="393" spans="1:14" x14ac:dyDescent="0.2">
      <c r="A393">
        <v>598066</v>
      </c>
      <c r="B393">
        <f>YEAR(#REF!)</f>
        <v>2013</v>
      </c>
      <c r="C393" t="s">
        <v>505</v>
      </c>
      <c r="D393" s="1">
        <v>41412</v>
      </c>
      <c r="E393" t="s">
        <v>33</v>
      </c>
      <c r="F393" t="s">
        <v>24</v>
      </c>
      <c r="H393" t="s">
        <v>24</v>
      </c>
      <c r="I393" t="s">
        <v>89</v>
      </c>
      <c r="J393" t="s">
        <v>78</v>
      </c>
      <c r="K393" t="s">
        <v>33</v>
      </c>
      <c r="L393" t="s">
        <v>360</v>
      </c>
      <c r="M393" t="s">
        <v>175</v>
      </c>
      <c r="N393" t="s">
        <v>176</v>
      </c>
    </row>
    <row r="394" spans="1:14" x14ac:dyDescent="0.2">
      <c r="A394">
        <v>598067</v>
      </c>
      <c r="B394">
        <f>YEAR(#REF!)</f>
        <v>2013</v>
      </c>
      <c r="C394" t="s">
        <v>505</v>
      </c>
      <c r="D394" s="1">
        <v>41413</v>
      </c>
      <c r="E394" t="s">
        <v>160</v>
      </c>
      <c r="F394" t="s">
        <v>76</v>
      </c>
      <c r="H394" t="s">
        <v>160</v>
      </c>
      <c r="I394" t="s">
        <v>77</v>
      </c>
      <c r="J394" t="s">
        <v>78</v>
      </c>
      <c r="K394" t="s">
        <v>160</v>
      </c>
      <c r="L394" t="s">
        <v>378</v>
      </c>
      <c r="M394" t="s">
        <v>162</v>
      </c>
      <c r="N394" t="s">
        <v>163</v>
      </c>
    </row>
    <row r="395" spans="1:14" x14ac:dyDescent="0.2">
      <c r="A395">
        <v>598069</v>
      </c>
      <c r="B395">
        <f>YEAR(#REF!)</f>
        <v>2013</v>
      </c>
      <c r="C395" t="s">
        <v>505</v>
      </c>
      <c r="D395" s="1">
        <v>41413</v>
      </c>
      <c r="E395" t="s">
        <v>39</v>
      </c>
      <c r="F395" t="s">
        <v>29</v>
      </c>
      <c r="H395" t="s">
        <v>29</v>
      </c>
      <c r="I395" t="s">
        <v>77</v>
      </c>
      <c r="J395" t="s">
        <v>78</v>
      </c>
      <c r="K395" t="s">
        <v>39</v>
      </c>
      <c r="L395" t="s">
        <v>111</v>
      </c>
      <c r="M395" t="s">
        <v>164</v>
      </c>
      <c r="N395" t="s">
        <v>145</v>
      </c>
    </row>
    <row r="396" spans="1:14" x14ac:dyDescent="0.2">
      <c r="A396">
        <v>598070</v>
      </c>
      <c r="B396">
        <f>YEAR(#REF!)</f>
        <v>2013</v>
      </c>
      <c r="C396" t="s">
        <v>505</v>
      </c>
      <c r="D396" s="1">
        <v>41415</v>
      </c>
      <c r="E396" t="s">
        <v>15</v>
      </c>
      <c r="F396" t="s">
        <v>24</v>
      </c>
      <c r="H396" t="s">
        <v>15</v>
      </c>
      <c r="I396" t="s">
        <v>77</v>
      </c>
      <c r="J396" t="s">
        <v>78</v>
      </c>
      <c r="K396" t="s">
        <v>15</v>
      </c>
      <c r="L396" t="s">
        <v>142</v>
      </c>
      <c r="M396" t="s">
        <v>87</v>
      </c>
      <c r="N396" t="s">
        <v>88</v>
      </c>
    </row>
    <row r="397" spans="1:14" x14ac:dyDescent="0.2">
      <c r="A397">
        <v>598071</v>
      </c>
      <c r="B397">
        <f>YEAR(#REF!)</f>
        <v>2013</v>
      </c>
      <c r="C397" t="s">
        <v>505</v>
      </c>
      <c r="D397" s="1">
        <v>41416</v>
      </c>
      <c r="E397" t="s">
        <v>14</v>
      </c>
      <c r="F397" t="s">
        <v>39</v>
      </c>
      <c r="H397" t="s">
        <v>39</v>
      </c>
      <c r="I397" t="s">
        <v>77</v>
      </c>
      <c r="J397" t="s">
        <v>78</v>
      </c>
      <c r="K397" t="s">
        <v>14</v>
      </c>
      <c r="L397" t="s">
        <v>384</v>
      </c>
      <c r="M397" t="s">
        <v>87</v>
      </c>
      <c r="N397" t="s">
        <v>88</v>
      </c>
    </row>
    <row r="398" spans="1:14" x14ac:dyDescent="0.2">
      <c r="A398">
        <v>598072</v>
      </c>
      <c r="B398">
        <f>YEAR(#REF!)</f>
        <v>2013</v>
      </c>
      <c r="C398" t="s">
        <v>505</v>
      </c>
      <c r="D398" s="1">
        <v>41418</v>
      </c>
      <c r="E398" t="s">
        <v>24</v>
      </c>
      <c r="F398" t="s">
        <v>14</v>
      </c>
      <c r="H398" t="s">
        <v>14</v>
      </c>
      <c r="I398" t="s">
        <v>77</v>
      </c>
      <c r="J398" t="s">
        <v>78</v>
      </c>
      <c r="K398" t="s">
        <v>24</v>
      </c>
      <c r="L398" t="s">
        <v>101</v>
      </c>
      <c r="M398" t="s">
        <v>134</v>
      </c>
      <c r="N398" t="s">
        <v>135</v>
      </c>
    </row>
    <row r="399" spans="1:14" x14ac:dyDescent="0.2">
      <c r="A399">
        <v>598073</v>
      </c>
      <c r="B399">
        <f>YEAR(#REF!)</f>
        <v>2013</v>
      </c>
      <c r="C399" t="s">
        <v>505</v>
      </c>
      <c r="D399" s="1">
        <v>41420</v>
      </c>
      <c r="E399" t="s">
        <v>15</v>
      </c>
      <c r="F399" t="s">
        <v>24</v>
      </c>
      <c r="H399" t="s">
        <v>24</v>
      </c>
      <c r="I399" t="s">
        <v>77</v>
      </c>
      <c r="J399" t="s">
        <v>78</v>
      </c>
      <c r="K399" t="s">
        <v>24</v>
      </c>
      <c r="L399" t="s">
        <v>123</v>
      </c>
      <c r="M399" t="s">
        <v>134</v>
      </c>
      <c r="N399" t="s">
        <v>135</v>
      </c>
    </row>
    <row r="400" spans="1:14" x14ac:dyDescent="0.2">
      <c r="A400">
        <v>729279</v>
      </c>
      <c r="B400">
        <f>YEAR(#REF!)</f>
        <v>2014</v>
      </c>
      <c r="C400" t="s">
        <v>506</v>
      </c>
      <c r="D400" s="1">
        <v>41745</v>
      </c>
      <c r="E400" t="s">
        <v>24</v>
      </c>
      <c r="F400" t="s">
        <v>29</v>
      </c>
      <c r="H400" t="s">
        <v>29</v>
      </c>
      <c r="I400" t="s">
        <v>77</v>
      </c>
      <c r="J400" t="s">
        <v>78</v>
      </c>
      <c r="K400" t="s">
        <v>29</v>
      </c>
      <c r="L400" t="s">
        <v>249</v>
      </c>
      <c r="M400" t="s">
        <v>103</v>
      </c>
      <c r="N400" t="s">
        <v>104</v>
      </c>
    </row>
    <row r="401" spans="1:14" x14ac:dyDescent="0.2">
      <c r="A401">
        <v>729281</v>
      </c>
      <c r="B401">
        <f>YEAR(#REF!)</f>
        <v>2014</v>
      </c>
      <c r="C401" t="s">
        <v>506</v>
      </c>
      <c r="D401" s="1">
        <v>41746</v>
      </c>
      <c r="E401" t="s">
        <v>76</v>
      </c>
      <c r="F401" t="s">
        <v>20</v>
      </c>
      <c r="H401" t="s">
        <v>20</v>
      </c>
      <c r="I401" t="s">
        <v>89</v>
      </c>
      <c r="J401" t="s">
        <v>78</v>
      </c>
      <c r="K401" t="s">
        <v>20</v>
      </c>
      <c r="L401" t="s">
        <v>333</v>
      </c>
      <c r="M401" t="s">
        <v>168</v>
      </c>
      <c r="N401" t="s">
        <v>79</v>
      </c>
    </row>
    <row r="402" spans="1:14" x14ac:dyDescent="0.2">
      <c r="A402">
        <v>729285</v>
      </c>
      <c r="B402">
        <f>YEAR(#REF!)</f>
        <v>2014</v>
      </c>
      <c r="C402" t="s">
        <v>506</v>
      </c>
      <c r="D402" s="1">
        <v>41747</v>
      </c>
      <c r="E402" t="s">
        <v>39</v>
      </c>
      <c r="F402" t="s">
        <v>14</v>
      </c>
      <c r="H402" t="s">
        <v>14</v>
      </c>
      <c r="I402" t="s">
        <v>89</v>
      </c>
      <c r="J402" t="s">
        <v>78</v>
      </c>
      <c r="K402" t="s">
        <v>14</v>
      </c>
      <c r="L402" t="s">
        <v>263</v>
      </c>
      <c r="M402" t="s">
        <v>103</v>
      </c>
      <c r="N402" t="s">
        <v>104</v>
      </c>
    </row>
    <row r="403" spans="1:14" x14ac:dyDescent="0.2">
      <c r="A403">
        <v>729283</v>
      </c>
      <c r="B403">
        <f>YEAR(#REF!)</f>
        <v>2014</v>
      </c>
      <c r="C403" t="s">
        <v>506</v>
      </c>
      <c r="D403" s="1">
        <v>41747</v>
      </c>
      <c r="E403" t="s">
        <v>15</v>
      </c>
      <c r="F403" t="s">
        <v>33</v>
      </c>
      <c r="H403" t="s">
        <v>15</v>
      </c>
      <c r="I403" t="s">
        <v>77</v>
      </c>
      <c r="J403" t="s">
        <v>78</v>
      </c>
      <c r="K403" t="s">
        <v>33</v>
      </c>
      <c r="L403" t="s">
        <v>248</v>
      </c>
      <c r="M403" t="s">
        <v>103</v>
      </c>
      <c r="N403" t="s">
        <v>104</v>
      </c>
    </row>
    <row r="404" spans="1:14" x14ac:dyDescent="0.2">
      <c r="A404">
        <v>729287</v>
      </c>
      <c r="B404">
        <f>YEAR(#REF!)</f>
        <v>2014</v>
      </c>
      <c r="C404" t="s">
        <v>506</v>
      </c>
      <c r="D404" s="1">
        <v>41748</v>
      </c>
      <c r="E404" t="s">
        <v>20</v>
      </c>
      <c r="F404" t="s">
        <v>24</v>
      </c>
      <c r="H404" t="s">
        <v>20</v>
      </c>
      <c r="I404" t="s">
        <v>89</v>
      </c>
      <c r="J404" t="s">
        <v>78</v>
      </c>
      <c r="K404" t="s">
        <v>20</v>
      </c>
      <c r="L404" t="s">
        <v>111</v>
      </c>
      <c r="M404" t="s">
        <v>157</v>
      </c>
      <c r="N404" t="s">
        <v>79</v>
      </c>
    </row>
    <row r="405" spans="1:14" x14ac:dyDescent="0.2">
      <c r="A405">
        <v>729289</v>
      </c>
      <c r="B405">
        <f>YEAR(#REF!)</f>
        <v>2014</v>
      </c>
      <c r="C405" t="s">
        <v>506</v>
      </c>
      <c r="D405" s="1">
        <v>41748</v>
      </c>
      <c r="E405" t="s">
        <v>29</v>
      </c>
      <c r="F405" t="s">
        <v>76</v>
      </c>
      <c r="H405" t="s">
        <v>29</v>
      </c>
      <c r="I405" t="s">
        <v>77</v>
      </c>
      <c r="J405" t="s">
        <v>78</v>
      </c>
      <c r="K405" t="s">
        <v>76</v>
      </c>
      <c r="L405" t="s">
        <v>274</v>
      </c>
      <c r="M405" t="s">
        <v>157</v>
      </c>
      <c r="N405" t="s">
        <v>79</v>
      </c>
    </row>
    <row r="406" spans="1:14" x14ac:dyDescent="0.2">
      <c r="A406">
        <v>729291</v>
      </c>
      <c r="B406">
        <f>YEAR(#REF!)</f>
        <v>2014</v>
      </c>
      <c r="C406" t="s">
        <v>506</v>
      </c>
      <c r="D406" s="1">
        <v>41749</v>
      </c>
      <c r="E406" t="s">
        <v>14</v>
      </c>
      <c r="F406" t="s">
        <v>33</v>
      </c>
      <c r="H406" t="s">
        <v>33</v>
      </c>
      <c r="I406" t="s">
        <v>89</v>
      </c>
      <c r="J406" t="s">
        <v>78</v>
      </c>
      <c r="K406" t="s">
        <v>33</v>
      </c>
      <c r="L406" t="s">
        <v>248</v>
      </c>
      <c r="M406" t="s">
        <v>168</v>
      </c>
      <c r="N406" t="s">
        <v>79</v>
      </c>
    </row>
    <row r="407" spans="1:14" x14ac:dyDescent="0.2">
      <c r="A407">
        <v>729293</v>
      </c>
      <c r="B407">
        <f>YEAR(#REF!)</f>
        <v>2014</v>
      </c>
      <c r="C407" t="s">
        <v>506</v>
      </c>
      <c r="D407" s="1">
        <v>41750</v>
      </c>
      <c r="E407" t="s">
        <v>15</v>
      </c>
      <c r="F407" t="s">
        <v>76</v>
      </c>
      <c r="H407" t="s">
        <v>15</v>
      </c>
      <c r="I407" t="s">
        <v>77</v>
      </c>
      <c r="J407" t="s">
        <v>78</v>
      </c>
      <c r="K407" t="s">
        <v>15</v>
      </c>
      <c r="L407" t="s">
        <v>259</v>
      </c>
      <c r="M407" t="s">
        <v>103</v>
      </c>
      <c r="N407" t="s">
        <v>104</v>
      </c>
    </row>
    <row r="408" spans="1:14" x14ac:dyDescent="0.2">
      <c r="A408">
        <v>729295</v>
      </c>
      <c r="B408">
        <f>YEAR(#REF!)</f>
        <v>2014</v>
      </c>
      <c r="C408" t="s">
        <v>506</v>
      </c>
      <c r="D408" s="1">
        <v>41751</v>
      </c>
      <c r="E408" t="s">
        <v>33</v>
      </c>
      <c r="F408" t="s">
        <v>39</v>
      </c>
      <c r="H408" t="s">
        <v>39</v>
      </c>
      <c r="I408" t="s">
        <v>89</v>
      </c>
      <c r="J408" t="s">
        <v>78</v>
      </c>
      <c r="K408" t="s">
        <v>33</v>
      </c>
      <c r="L408" t="s">
        <v>248</v>
      </c>
      <c r="M408" t="s">
        <v>168</v>
      </c>
      <c r="N408" t="s">
        <v>79</v>
      </c>
    </row>
    <row r="409" spans="1:14" x14ac:dyDescent="0.2">
      <c r="A409">
        <v>729297</v>
      </c>
      <c r="B409">
        <f>YEAR(#REF!)</f>
        <v>2014</v>
      </c>
      <c r="C409" t="s">
        <v>506</v>
      </c>
      <c r="D409" s="1">
        <v>41752</v>
      </c>
      <c r="E409" t="s">
        <v>14</v>
      </c>
      <c r="F409" t="s">
        <v>15</v>
      </c>
      <c r="H409" t="s">
        <v>14</v>
      </c>
      <c r="I409" t="s">
        <v>89</v>
      </c>
      <c r="J409" t="s">
        <v>78</v>
      </c>
      <c r="K409" t="s">
        <v>15</v>
      </c>
      <c r="L409" t="s">
        <v>179</v>
      </c>
      <c r="M409" t="s">
        <v>157</v>
      </c>
      <c r="N409" t="s">
        <v>79</v>
      </c>
    </row>
    <row r="410" spans="1:14" x14ac:dyDescent="0.2">
      <c r="A410">
        <v>729299</v>
      </c>
      <c r="B410">
        <f>YEAR(#REF!)</f>
        <v>2014</v>
      </c>
      <c r="C410" t="s">
        <v>506</v>
      </c>
      <c r="D410" s="1">
        <v>41753</v>
      </c>
      <c r="E410" t="s">
        <v>20</v>
      </c>
      <c r="F410" t="s">
        <v>29</v>
      </c>
      <c r="H410" t="s">
        <v>20</v>
      </c>
      <c r="I410" t="s">
        <v>89</v>
      </c>
      <c r="J410" t="s">
        <v>78</v>
      </c>
      <c r="K410" t="s">
        <v>29</v>
      </c>
      <c r="L410" t="s">
        <v>434</v>
      </c>
      <c r="M410" t="s">
        <v>168</v>
      </c>
      <c r="N410" t="s">
        <v>79</v>
      </c>
    </row>
    <row r="411" spans="1:14" x14ac:dyDescent="0.2">
      <c r="A411">
        <v>729303</v>
      </c>
      <c r="B411">
        <f>YEAR(#REF!)</f>
        <v>2014</v>
      </c>
      <c r="C411" t="s">
        <v>506</v>
      </c>
      <c r="D411" s="1">
        <v>41754</v>
      </c>
      <c r="E411" t="s">
        <v>15</v>
      </c>
      <c r="F411" t="s">
        <v>24</v>
      </c>
      <c r="H411" t="s">
        <v>24</v>
      </c>
      <c r="I411" t="s">
        <v>77</v>
      </c>
      <c r="J411" t="s">
        <v>78</v>
      </c>
      <c r="K411" t="s">
        <v>15</v>
      </c>
      <c r="L411" t="s">
        <v>313</v>
      </c>
      <c r="M411" t="s">
        <v>157</v>
      </c>
      <c r="N411" t="s">
        <v>79</v>
      </c>
    </row>
    <row r="412" spans="1:14" x14ac:dyDescent="0.2">
      <c r="A412">
        <v>729301</v>
      </c>
      <c r="B412">
        <f>YEAR(#REF!)</f>
        <v>2014</v>
      </c>
      <c r="C412" t="s">
        <v>506</v>
      </c>
      <c r="D412" s="1">
        <v>41754</v>
      </c>
      <c r="E412" t="s">
        <v>39</v>
      </c>
      <c r="F412" t="s">
        <v>76</v>
      </c>
      <c r="H412" t="s">
        <v>39</v>
      </c>
      <c r="I412" t="s">
        <v>77</v>
      </c>
      <c r="J412" t="s">
        <v>78</v>
      </c>
      <c r="K412" t="s">
        <v>39</v>
      </c>
      <c r="L412" t="s">
        <v>165</v>
      </c>
      <c r="M412" t="s">
        <v>157</v>
      </c>
      <c r="N412" t="s">
        <v>79</v>
      </c>
    </row>
    <row r="413" spans="1:14" x14ac:dyDescent="0.2">
      <c r="A413">
        <v>729307</v>
      </c>
      <c r="B413">
        <f>YEAR(#REF!)</f>
        <v>2014</v>
      </c>
      <c r="C413" t="s">
        <v>506</v>
      </c>
      <c r="D413" s="1">
        <v>41755</v>
      </c>
      <c r="E413" t="s">
        <v>29</v>
      </c>
      <c r="F413" t="s">
        <v>33</v>
      </c>
      <c r="H413" t="s">
        <v>29</v>
      </c>
      <c r="I413" t="s">
        <v>89</v>
      </c>
      <c r="J413" t="s">
        <v>78</v>
      </c>
      <c r="K413" t="s">
        <v>33</v>
      </c>
      <c r="L413" t="s">
        <v>83</v>
      </c>
      <c r="M413" t="s">
        <v>103</v>
      </c>
      <c r="N413" t="s">
        <v>104</v>
      </c>
    </row>
    <row r="414" spans="1:14" x14ac:dyDescent="0.2">
      <c r="A414">
        <v>729305</v>
      </c>
      <c r="B414">
        <f>YEAR(#REF!)</f>
        <v>2014</v>
      </c>
      <c r="C414" t="s">
        <v>506</v>
      </c>
      <c r="D414" s="1">
        <v>41755</v>
      </c>
      <c r="E414" t="s">
        <v>14</v>
      </c>
      <c r="F414" t="s">
        <v>20</v>
      </c>
      <c r="H414" t="s">
        <v>14</v>
      </c>
      <c r="I414" t="s">
        <v>89</v>
      </c>
      <c r="J414" t="s">
        <v>78</v>
      </c>
      <c r="K414" t="s">
        <v>14</v>
      </c>
      <c r="L414" t="s">
        <v>370</v>
      </c>
      <c r="M414" t="s">
        <v>103</v>
      </c>
      <c r="N414" t="s">
        <v>104</v>
      </c>
    </row>
    <row r="415" spans="1:14" x14ac:dyDescent="0.2">
      <c r="A415">
        <v>729309</v>
      </c>
      <c r="B415">
        <f>YEAR(#REF!)</f>
        <v>2014</v>
      </c>
      <c r="C415" t="s">
        <v>506</v>
      </c>
      <c r="D415" s="1">
        <v>41756</v>
      </c>
      <c r="E415" t="s">
        <v>76</v>
      </c>
      <c r="F415" t="s">
        <v>24</v>
      </c>
      <c r="H415" t="s">
        <v>24</v>
      </c>
      <c r="I415" t="s">
        <v>77</v>
      </c>
      <c r="J415" t="s">
        <v>78</v>
      </c>
      <c r="K415" t="s">
        <v>76</v>
      </c>
      <c r="L415" t="s">
        <v>205</v>
      </c>
      <c r="M415" t="s">
        <v>168</v>
      </c>
      <c r="N415" t="s">
        <v>79</v>
      </c>
    </row>
    <row r="416" spans="1:14" x14ac:dyDescent="0.2">
      <c r="A416">
        <v>729311</v>
      </c>
      <c r="B416">
        <f>YEAR(#REF!)</f>
        <v>2014</v>
      </c>
      <c r="C416" t="s">
        <v>506</v>
      </c>
      <c r="D416" s="1">
        <v>41756</v>
      </c>
      <c r="E416" t="s">
        <v>39</v>
      </c>
      <c r="F416" t="s">
        <v>15</v>
      </c>
      <c r="H416" t="s">
        <v>39</v>
      </c>
      <c r="I416" t="s">
        <v>77</v>
      </c>
      <c r="J416" t="s">
        <v>78</v>
      </c>
      <c r="K416" t="s">
        <v>15</v>
      </c>
      <c r="L416" t="s">
        <v>158</v>
      </c>
      <c r="M416" t="s">
        <v>168</v>
      </c>
      <c r="N416" t="s">
        <v>79</v>
      </c>
    </row>
    <row r="417" spans="1:14" x14ac:dyDescent="0.2">
      <c r="A417">
        <v>729313</v>
      </c>
      <c r="B417">
        <f>YEAR(#REF!)</f>
        <v>2014</v>
      </c>
      <c r="C417" t="s">
        <v>506</v>
      </c>
      <c r="D417" s="1">
        <v>41757</v>
      </c>
      <c r="E417" t="s">
        <v>33</v>
      </c>
      <c r="F417" t="s">
        <v>20</v>
      </c>
      <c r="H417" t="s">
        <v>33</v>
      </c>
      <c r="I417" t="s">
        <v>89</v>
      </c>
      <c r="J417" t="s">
        <v>78</v>
      </c>
      <c r="K417" t="s">
        <v>33</v>
      </c>
      <c r="L417" t="s">
        <v>83</v>
      </c>
      <c r="M417" t="s">
        <v>157</v>
      </c>
      <c r="N417" t="s">
        <v>79</v>
      </c>
    </row>
    <row r="418" spans="1:14" x14ac:dyDescent="0.2">
      <c r="A418">
        <v>729315</v>
      </c>
      <c r="B418">
        <f>YEAR(#REF!)</f>
        <v>2014</v>
      </c>
      <c r="C418" t="s">
        <v>506</v>
      </c>
      <c r="D418" s="1">
        <v>41758</v>
      </c>
      <c r="E418" t="s">
        <v>29</v>
      </c>
      <c r="F418" t="s">
        <v>14</v>
      </c>
      <c r="H418" t="s">
        <v>14</v>
      </c>
      <c r="I418" t="s">
        <v>77</v>
      </c>
      <c r="J418" t="s">
        <v>310</v>
      </c>
      <c r="K418" t="s">
        <v>79</v>
      </c>
      <c r="L418" t="s">
        <v>256</v>
      </c>
      <c r="M418" t="s">
        <v>103</v>
      </c>
      <c r="N418" t="s">
        <v>104</v>
      </c>
    </row>
    <row r="419" spans="1:14" x14ac:dyDescent="0.2">
      <c r="A419">
        <v>729317</v>
      </c>
      <c r="B419">
        <f>YEAR(#REF!)</f>
        <v>2014</v>
      </c>
      <c r="C419" t="s">
        <v>506</v>
      </c>
      <c r="D419" s="1">
        <v>41759</v>
      </c>
      <c r="E419" t="s">
        <v>24</v>
      </c>
      <c r="F419" t="s">
        <v>39</v>
      </c>
      <c r="H419" t="s">
        <v>24</v>
      </c>
      <c r="I419" t="s">
        <v>89</v>
      </c>
      <c r="J419" t="s">
        <v>78</v>
      </c>
      <c r="K419" t="s">
        <v>39</v>
      </c>
      <c r="L419" t="s">
        <v>323</v>
      </c>
      <c r="M419" t="s">
        <v>157</v>
      </c>
      <c r="N419" t="s">
        <v>79</v>
      </c>
    </row>
    <row r="420" spans="1:14" x14ac:dyDescent="0.2">
      <c r="A420">
        <v>733971</v>
      </c>
      <c r="B420">
        <f>YEAR(#REF!)</f>
        <v>2014</v>
      </c>
      <c r="C420" t="s">
        <v>506</v>
      </c>
      <c r="D420" s="1">
        <v>41761</v>
      </c>
      <c r="E420" t="s">
        <v>15</v>
      </c>
      <c r="F420" t="s">
        <v>29</v>
      </c>
      <c r="H420" t="s">
        <v>15</v>
      </c>
      <c r="I420" t="s">
        <v>77</v>
      </c>
      <c r="J420" t="s">
        <v>78</v>
      </c>
      <c r="K420" t="s">
        <v>15</v>
      </c>
      <c r="L420" t="s">
        <v>179</v>
      </c>
      <c r="M420" t="s">
        <v>115</v>
      </c>
      <c r="N420" t="s">
        <v>116</v>
      </c>
    </row>
    <row r="421" spans="1:14" x14ac:dyDescent="0.2">
      <c r="A421">
        <v>733975</v>
      </c>
      <c r="B421">
        <f>YEAR(#REF!)</f>
        <v>2014</v>
      </c>
      <c r="C421" t="s">
        <v>506</v>
      </c>
      <c r="D421" s="1">
        <v>41762</v>
      </c>
      <c r="E421" t="s">
        <v>76</v>
      </c>
      <c r="F421" t="s">
        <v>14</v>
      </c>
      <c r="H421" t="s">
        <v>14</v>
      </c>
      <c r="I421" t="s">
        <v>89</v>
      </c>
      <c r="J421" t="s">
        <v>78</v>
      </c>
      <c r="K421" t="s">
        <v>14</v>
      </c>
      <c r="L421" t="s">
        <v>222</v>
      </c>
      <c r="M421" t="s">
        <v>87</v>
      </c>
      <c r="N421" t="s">
        <v>88</v>
      </c>
    </row>
    <row r="422" spans="1:14" x14ac:dyDescent="0.2">
      <c r="A422">
        <v>733973</v>
      </c>
      <c r="B422">
        <f>YEAR(#REF!)</f>
        <v>2014</v>
      </c>
      <c r="C422" t="s">
        <v>506</v>
      </c>
      <c r="D422" s="1">
        <v>41762</v>
      </c>
      <c r="E422" t="s">
        <v>24</v>
      </c>
      <c r="F422" t="s">
        <v>33</v>
      </c>
      <c r="H422" t="s">
        <v>33</v>
      </c>
      <c r="I422" t="s">
        <v>77</v>
      </c>
      <c r="J422" t="s">
        <v>78</v>
      </c>
      <c r="K422" t="s">
        <v>24</v>
      </c>
      <c r="L422" t="s">
        <v>348</v>
      </c>
      <c r="M422" t="s">
        <v>97</v>
      </c>
      <c r="N422" t="s">
        <v>92</v>
      </c>
    </row>
    <row r="423" spans="1:14" x14ac:dyDescent="0.2">
      <c r="A423">
        <v>733977</v>
      </c>
      <c r="B423">
        <f>YEAR(#REF!)</f>
        <v>2014</v>
      </c>
      <c r="C423" t="s">
        <v>506</v>
      </c>
      <c r="D423" s="1">
        <v>41763</v>
      </c>
      <c r="E423" t="s">
        <v>20</v>
      </c>
      <c r="F423" t="s">
        <v>39</v>
      </c>
      <c r="H423" t="s">
        <v>20</v>
      </c>
      <c r="I423" t="s">
        <v>89</v>
      </c>
      <c r="J423" t="s">
        <v>78</v>
      </c>
      <c r="K423" t="s">
        <v>20</v>
      </c>
      <c r="L423" t="s">
        <v>38</v>
      </c>
      <c r="M423" t="s">
        <v>196</v>
      </c>
      <c r="N423" t="s">
        <v>197</v>
      </c>
    </row>
    <row r="424" spans="1:14" x14ac:dyDescent="0.2">
      <c r="A424">
        <v>733981</v>
      </c>
      <c r="B424">
        <f>YEAR(#REF!)</f>
        <v>2014</v>
      </c>
      <c r="C424" t="s">
        <v>506</v>
      </c>
      <c r="D424" s="1">
        <v>41764</v>
      </c>
      <c r="E424" t="s">
        <v>76</v>
      </c>
      <c r="F424" t="s">
        <v>15</v>
      </c>
      <c r="H424" t="s">
        <v>15</v>
      </c>
      <c r="I424" t="s">
        <v>89</v>
      </c>
      <c r="J424" t="s">
        <v>78</v>
      </c>
      <c r="K424" t="s">
        <v>15</v>
      </c>
      <c r="L424" t="s">
        <v>158</v>
      </c>
      <c r="M424" t="s">
        <v>87</v>
      </c>
      <c r="N424" t="s">
        <v>88</v>
      </c>
    </row>
    <row r="425" spans="1:14" x14ac:dyDescent="0.2">
      <c r="A425">
        <v>733979</v>
      </c>
      <c r="B425">
        <f>YEAR(#REF!)</f>
        <v>2014</v>
      </c>
      <c r="C425" t="s">
        <v>506</v>
      </c>
      <c r="D425" s="1">
        <v>41764</v>
      </c>
      <c r="E425" t="s">
        <v>14</v>
      </c>
      <c r="F425" t="s">
        <v>29</v>
      </c>
      <c r="H425" t="s">
        <v>29</v>
      </c>
      <c r="I425" t="s">
        <v>89</v>
      </c>
      <c r="J425" t="s">
        <v>78</v>
      </c>
      <c r="K425" t="s">
        <v>14</v>
      </c>
      <c r="L425" t="s">
        <v>370</v>
      </c>
      <c r="M425" t="s">
        <v>185</v>
      </c>
      <c r="N425" t="s">
        <v>130</v>
      </c>
    </row>
    <row r="426" spans="1:14" x14ac:dyDescent="0.2">
      <c r="A426">
        <v>733983</v>
      </c>
      <c r="B426">
        <f>YEAR(#REF!)</f>
        <v>2014</v>
      </c>
      <c r="C426" t="s">
        <v>506</v>
      </c>
      <c r="D426" s="1">
        <v>41765</v>
      </c>
      <c r="E426" t="s">
        <v>24</v>
      </c>
      <c r="F426" t="s">
        <v>20</v>
      </c>
      <c r="H426" t="s">
        <v>20</v>
      </c>
      <c r="I426" t="s">
        <v>89</v>
      </c>
      <c r="J426" t="s">
        <v>78</v>
      </c>
      <c r="K426" t="s">
        <v>24</v>
      </c>
      <c r="L426" t="s">
        <v>96</v>
      </c>
      <c r="M426" t="s">
        <v>97</v>
      </c>
      <c r="N426" t="s">
        <v>92</v>
      </c>
    </row>
    <row r="427" spans="1:14" x14ac:dyDescent="0.2">
      <c r="A427">
        <v>733985</v>
      </c>
      <c r="B427">
        <f>YEAR(#REF!)</f>
        <v>2014</v>
      </c>
      <c r="C427" t="s">
        <v>506</v>
      </c>
      <c r="D427" s="1">
        <v>41766</v>
      </c>
      <c r="E427" t="s">
        <v>76</v>
      </c>
      <c r="F427" t="s">
        <v>29</v>
      </c>
      <c r="H427" t="s">
        <v>76</v>
      </c>
      <c r="I427" t="s">
        <v>77</v>
      </c>
      <c r="J427" t="s">
        <v>78</v>
      </c>
      <c r="K427" t="s">
        <v>29</v>
      </c>
      <c r="L427" t="s">
        <v>141</v>
      </c>
      <c r="M427" t="s">
        <v>87</v>
      </c>
      <c r="N427" t="s">
        <v>88</v>
      </c>
    </row>
    <row r="428" spans="1:14" x14ac:dyDescent="0.2">
      <c r="A428">
        <v>733987</v>
      </c>
      <c r="B428">
        <f>YEAR(#REF!)</f>
        <v>2014</v>
      </c>
      <c r="C428" t="s">
        <v>506</v>
      </c>
      <c r="D428" s="1">
        <v>41766</v>
      </c>
      <c r="E428" t="s">
        <v>33</v>
      </c>
      <c r="F428" t="s">
        <v>15</v>
      </c>
      <c r="H428" t="s">
        <v>15</v>
      </c>
      <c r="I428" t="s">
        <v>89</v>
      </c>
      <c r="J428" t="s">
        <v>78</v>
      </c>
      <c r="K428" t="s">
        <v>33</v>
      </c>
      <c r="L428" t="s">
        <v>248</v>
      </c>
      <c r="M428" t="s">
        <v>331</v>
      </c>
      <c r="N428" t="s">
        <v>332</v>
      </c>
    </row>
    <row r="429" spans="1:14" x14ac:dyDescent="0.2">
      <c r="A429">
        <v>733989</v>
      </c>
      <c r="B429">
        <f>YEAR(#REF!)</f>
        <v>2014</v>
      </c>
      <c r="C429" t="s">
        <v>506</v>
      </c>
      <c r="D429" s="1">
        <v>41767</v>
      </c>
      <c r="E429" t="s">
        <v>14</v>
      </c>
      <c r="F429" t="s">
        <v>39</v>
      </c>
      <c r="H429" t="s">
        <v>14</v>
      </c>
      <c r="I429" t="s">
        <v>89</v>
      </c>
      <c r="J429" t="s">
        <v>78</v>
      </c>
      <c r="K429" t="s">
        <v>39</v>
      </c>
      <c r="L429" t="s">
        <v>323</v>
      </c>
      <c r="M429" t="s">
        <v>185</v>
      </c>
      <c r="N429" t="s">
        <v>130</v>
      </c>
    </row>
    <row r="430" spans="1:14" x14ac:dyDescent="0.2">
      <c r="A430">
        <v>733991</v>
      </c>
      <c r="B430">
        <f>YEAR(#REF!)</f>
        <v>2014</v>
      </c>
      <c r="C430" t="s">
        <v>506</v>
      </c>
      <c r="D430" s="1">
        <v>41768</v>
      </c>
      <c r="E430" t="s">
        <v>20</v>
      </c>
      <c r="F430" t="s">
        <v>33</v>
      </c>
      <c r="H430" t="s">
        <v>20</v>
      </c>
      <c r="I430" t="s">
        <v>89</v>
      </c>
      <c r="J430" t="s">
        <v>78</v>
      </c>
      <c r="K430" t="s">
        <v>33</v>
      </c>
      <c r="L430" t="s">
        <v>83</v>
      </c>
      <c r="M430" t="s">
        <v>196</v>
      </c>
      <c r="N430" t="s">
        <v>197</v>
      </c>
    </row>
    <row r="431" spans="1:14" x14ac:dyDescent="0.2">
      <c r="A431">
        <v>733993</v>
      </c>
      <c r="B431">
        <f>YEAR(#REF!)</f>
        <v>2014</v>
      </c>
      <c r="C431" t="s">
        <v>506</v>
      </c>
      <c r="D431" s="1">
        <v>41769</v>
      </c>
      <c r="E431" t="s">
        <v>76</v>
      </c>
      <c r="F431" t="s">
        <v>39</v>
      </c>
      <c r="H431" t="s">
        <v>39</v>
      </c>
      <c r="I431" t="s">
        <v>89</v>
      </c>
      <c r="J431" t="s">
        <v>78</v>
      </c>
      <c r="K431" t="s">
        <v>39</v>
      </c>
      <c r="L431" t="s">
        <v>342</v>
      </c>
      <c r="M431" t="s">
        <v>87</v>
      </c>
      <c r="N431" t="s">
        <v>88</v>
      </c>
    </row>
    <row r="432" spans="1:14" x14ac:dyDescent="0.2">
      <c r="A432">
        <v>733995</v>
      </c>
      <c r="B432">
        <f>YEAR(#REF!)</f>
        <v>2014</v>
      </c>
      <c r="C432" t="s">
        <v>506</v>
      </c>
      <c r="D432" s="1">
        <v>41769</v>
      </c>
      <c r="E432" t="s">
        <v>24</v>
      </c>
      <c r="F432" t="s">
        <v>15</v>
      </c>
      <c r="H432" t="s">
        <v>15</v>
      </c>
      <c r="I432" t="s">
        <v>89</v>
      </c>
      <c r="J432" t="s">
        <v>78</v>
      </c>
      <c r="K432" t="s">
        <v>15</v>
      </c>
      <c r="L432" t="s">
        <v>158</v>
      </c>
      <c r="M432" t="s">
        <v>97</v>
      </c>
      <c r="N432" t="s">
        <v>92</v>
      </c>
    </row>
    <row r="433" spans="1:14" x14ac:dyDescent="0.2">
      <c r="A433">
        <v>733999</v>
      </c>
      <c r="B433">
        <f>YEAR(#REF!)</f>
        <v>2014</v>
      </c>
      <c r="C433" t="s">
        <v>506</v>
      </c>
      <c r="D433" s="1">
        <v>41770</v>
      </c>
      <c r="E433" t="s">
        <v>20</v>
      </c>
      <c r="F433" t="s">
        <v>14</v>
      </c>
      <c r="H433" t="s">
        <v>20</v>
      </c>
      <c r="I433" t="s">
        <v>77</v>
      </c>
      <c r="J433" t="s">
        <v>78</v>
      </c>
      <c r="K433" t="s">
        <v>14</v>
      </c>
      <c r="L433" t="s">
        <v>256</v>
      </c>
      <c r="M433" t="s">
        <v>196</v>
      </c>
      <c r="N433" t="s">
        <v>197</v>
      </c>
    </row>
    <row r="434" spans="1:14" x14ac:dyDescent="0.2">
      <c r="A434">
        <v>733997</v>
      </c>
      <c r="B434">
        <f>YEAR(#REF!)</f>
        <v>2014</v>
      </c>
      <c r="C434" t="s">
        <v>506</v>
      </c>
      <c r="D434" s="1">
        <v>41770</v>
      </c>
      <c r="E434" t="s">
        <v>33</v>
      </c>
      <c r="F434" t="s">
        <v>29</v>
      </c>
      <c r="H434" t="s">
        <v>29</v>
      </c>
      <c r="I434" t="s">
        <v>89</v>
      </c>
      <c r="J434" t="s">
        <v>78</v>
      </c>
      <c r="K434" t="s">
        <v>29</v>
      </c>
      <c r="L434" t="s">
        <v>141</v>
      </c>
      <c r="M434" t="s">
        <v>331</v>
      </c>
      <c r="N434" t="s">
        <v>332</v>
      </c>
    </row>
    <row r="435" spans="1:14" x14ac:dyDescent="0.2">
      <c r="A435">
        <v>734001</v>
      </c>
      <c r="B435">
        <f>YEAR(#REF!)</f>
        <v>2014</v>
      </c>
      <c r="C435" t="s">
        <v>506</v>
      </c>
      <c r="D435" s="1">
        <v>41771</v>
      </c>
      <c r="E435" t="s">
        <v>39</v>
      </c>
      <c r="F435" t="s">
        <v>24</v>
      </c>
      <c r="H435" t="s">
        <v>39</v>
      </c>
      <c r="I435" t="s">
        <v>77</v>
      </c>
      <c r="J435" t="s">
        <v>78</v>
      </c>
      <c r="K435" t="s">
        <v>24</v>
      </c>
      <c r="L435" t="s">
        <v>231</v>
      </c>
      <c r="M435" t="s">
        <v>164</v>
      </c>
      <c r="N435" t="s">
        <v>145</v>
      </c>
    </row>
    <row r="436" spans="1:14" x14ac:dyDescent="0.2">
      <c r="A436">
        <v>734005</v>
      </c>
      <c r="B436">
        <f>YEAR(#REF!)</f>
        <v>2014</v>
      </c>
      <c r="C436" t="s">
        <v>506</v>
      </c>
      <c r="D436" s="1">
        <v>41772</v>
      </c>
      <c r="E436" t="s">
        <v>20</v>
      </c>
      <c r="F436" t="s">
        <v>76</v>
      </c>
      <c r="H436" t="s">
        <v>76</v>
      </c>
      <c r="I436" t="s">
        <v>89</v>
      </c>
      <c r="J436" t="s">
        <v>78</v>
      </c>
      <c r="K436" t="s">
        <v>20</v>
      </c>
      <c r="L436" t="s">
        <v>225</v>
      </c>
      <c r="M436" t="s">
        <v>196</v>
      </c>
      <c r="N436" t="s">
        <v>197</v>
      </c>
    </row>
    <row r="437" spans="1:14" x14ac:dyDescent="0.2">
      <c r="A437">
        <v>734003</v>
      </c>
      <c r="B437">
        <f>YEAR(#REF!)</f>
        <v>2014</v>
      </c>
      <c r="C437" t="s">
        <v>506</v>
      </c>
      <c r="D437" s="1">
        <v>41772</v>
      </c>
      <c r="E437" t="s">
        <v>15</v>
      </c>
      <c r="F437" t="s">
        <v>14</v>
      </c>
      <c r="H437" t="s">
        <v>14</v>
      </c>
      <c r="I437" t="s">
        <v>77</v>
      </c>
      <c r="J437" t="s">
        <v>78</v>
      </c>
      <c r="K437" t="s">
        <v>15</v>
      </c>
      <c r="L437" t="s">
        <v>179</v>
      </c>
      <c r="M437" t="s">
        <v>115</v>
      </c>
      <c r="N437" t="s">
        <v>116</v>
      </c>
    </row>
    <row r="438" spans="1:14" x14ac:dyDescent="0.2">
      <c r="A438">
        <v>734009</v>
      </c>
      <c r="B438">
        <f>YEAR(#REF!)</f>
        <v>2014</v>
      </c>
      <c r="C438" t="s">
        <v>506</v>
      </c>
      <c r="D438" s="1">
        <v>41773</v>
      </c>
      <c r="E438" t="s">
        <v>29</v>
      </c>
      <c r="F438" t="s">
        <v>24</v>
      </c>
      <c r="H438" t="s">
        <v>29</v>
      </c>
      <c r="I438" t="s">
        <v>89</v>
      </c>
      <c r="J438" t="s">
        <v>78</v>
      </c>
      <c r="K438" t="s">
        <v>29</v>
      </c>
      <c r="L438" t="s">
        <v>192</v>
      </c>
      <c r="M438" t="s">
        <v>331</v>
      </c>
      <c r="N438" t="s">
        <v>332</v>
      </c>
    </row>
    <row r="439" spans="1:14" x14ac:dyDescent="0.2">
      <c r="A439">
        <v>734007</v>
      </c>
      <c r="B439">
        <f>YEAR(#REF!)</f>
        <v>2014</v>
      </c>
      <c r="C439" t="s">
        <v>506</v>
      </c>
      <c r="D439" s="1">
        <v>41773</v>
      </c>
      <c r="E439" t="s">
        <v>39</v>
      </c>
      <c r="F439" t="s">
        <v>33</v>
      </c>
      <c r="H439" t="s">
        <v>33</v>
      </c>
      <c r="I439" t="s">
        <v>89</v>
      </c>
      <c r="J439" t="s">
        <v>78</v>
      </c>
      <c r="K439" t="s">
        <v>33</v>
      </c>
      <c r="L439" t="s">
        <v>330</v>
      </c>
      <c r="M439" t="s">
        <v>164</v>
      </c>
      <c r="N439" t="s">
        <v>145</v>
      </c>
    </row>
    <row r="440" spans="1:14" x14ac:dyDescent="0.2">
      <c r="A440">
        <v>734011</v>
      </c>
      <c r="B440">
        <f>YEAR(#REF!)</f>
        <v>2014</v>
      </c>
      <c r="C440" t="s">
        <v>506</v>
      </c>
      <c r="D440" s="1">
        <v>41774</v>
      </c>
      <c r="E440" t="s">
        <v>14</v>
      </c>
      <c r="F440" t="s">
        <v>76</v>
      </c>
      <c r="H440" t="s">
        <v>76</v>
      </c>
      <c r="I440" t="s">
        <v>89</v>
      </c>
      <c r="J440" t="s">
        <v>78</v>
      </c>
      <c r="K440" t="s">
        <v>14</v>
      </c>
      <c r="L440" t="s">
        <v>263</v>
      </c>
      <c r="M440" t="s">
        <v>185</v>
      </c>
      <c r="N440" t="s">
        <v>130</v>
      </c>
    </row>
    <row r="441" spans="1:14" x14ac:dyDescent="0.2">
      <c r="A441">
        <v>734013</v>
      </c>
      <c r="B441">
        <f>YEAR(#REF!)</f>
        <v>2014</v>
      </c>
      <c r="C441" t="s">
        <v>506</v>
      </c>
      <c r="D441" s="1">
        <v>41777</v>
      </c>
      <c r="E441" t="s">
        <v>15</v>
      </c>
      <c r="F441" t="s">
        <v>20</v>
      </c>
      <c r="H441" t="s">
        <v>15</v>
      </c>
      <c r="I441" t="s">
        <v>77</v>
      </c>
      <c r="J441" t="s">
        <v>78</v>
      </c>
      <c r="K441" t="s">
        <v>20</v>
      </c>
      <c r="L441" t="s">
        <v>38</v>
      </c>
      <c r="M441" t="s">
        <v>115</v>
      </c>
      <c r="N441" t="s">
        <v>116</v>
      </c>
    </row>
    <row r="442" spans="1:14" x14ac:dyDescent="0.2">
      <c r="A442">
        <v>734015</v>
      </c>
      <c r="B442">
        <f>YEAR(#REF!)</f>
        <v>2014</v>
      </c>
      <c r="C442" t="s">
        <v>506</v>
      </c>
      <c r="D442" s="1">
        <v>41777</v>
      </c>
      <c r="E442" t="s">
        <v>39</v>
      </c>
      <c r="F442" t="s">
        <v>29</v>
      </c>
      <c r="H442" t="s">
        <v>39</v>
      </c>
      <c r="I442" t="s">
        <v>77</v>
      </c>
      <c r="J442" t="s">
        <v>78</v>
      </c>
      <c r="K442" t="s">
        <v>29</v>
      </c>
      <c r="L442" t="s">
        <v>240</v>
      </c>
      <c r="M442" t="s">
        <v>164</v>
      </c>
      <c r="N442" t="s">
        <v>145</v>
      </c>
    </row>
    <row r="443" spans="1:14" x14ac:dyDescent="0.2">
      <c r="A443">
        <v>734017</v>
      </c>
      <c r="B443">
        <f>YEAR(#REF!)</f>
        <v>2014</v>
      </c>
      <c r="C443" t="s">
        <v>506</v>
      </c>
      <c r="D443" s="1">
        <v>41778</v>
      </c>
      <c r="E443" t="s">
        <v>14</v>
      </c>
      <c r="F443" t="s">
        <v>24</v>
      </c>
      <c r="H443" t="s">
        <v>24</v>
      </c>
      <c r="I443" t="s">
        <v>77</v>
      </c>
      <c r="J443" t="s">
        <v>78</v>
      </c>
      <c r="K443" t="s">
        <v>24</v>
      </c>
      <c r="L443" t="s">
        <v>142</v>
      </c>
      <c r="M443" t="s">
        <v>185</v>
      </c>
      <c r="N443" t="s">
        <v>130</v>
      </c>
    </row>
    <row r="444" spans="1:14" x14ac:dyDescent="0.2">
      <c r="A444">
        <v>734019</v>
      </c>
      <c r="B444">
        <f>YEAR(#REF!)</f>
        <v>2014</v>
      </c>
      <c r="C444" t="s">
        <v>506</v>
      </c>
      <c r="D444" s="1">
        <v>41778</v>
      </c>
      <c r="E444" t="s">
        <v>76</v>
      </c>
      <c r="F444" t="s">
        <v>33</v>
      </c>
      <c r="H444" t="s">
        <v>33</v>
      </c>
      <c r="I444" t="s">
        <v>89</v>
      </c>
      <c r="J444" t="s">
        <v>78</v>
      </c>
      <c r="K444" t="s">
        <v>33</v>
      </c>
      <c r="L444" t="s">
        <v>137</v>
      </c>
      <c r="M444" t="s">
        <v>87</v>
      </c>
      <c r="N444" t="s">
        <v>88</v>
      </c>
    </row>
    <row r="445" spans="1:14" x14ac:dyDescent="0.2">
      <c r="A445">
        <v>734021</v>
      </c>
      <c r="B445">
        <f>YEAR(#REF!)</f>
        <v>2014</v>
      </c>
      <c r="C445" t="s">
        <v>506</v>
      </c>
      <c r="D445" s="1">
        <v>41779</v>
      </c>
      <c r="E445" t="s">
        <v>39</v>
      </c>
      <c r="F445" t="s">
        <v>20</v>
      </c>
      <c r="H445" t="s">
        <v>20</v>
      </c>
      <c r="I445" t="s">
        <v>77</v>
      </c>
      <c r="J445" t="s">
        <v>78</v>
      </c>
      <c r="K445" t="s">
        <v>39</v>
      </c>
      <c r="L445" t="s">
        <v>80</v>
      </c>
      <c r="M445" t="s">
        <v>164</v>
      </c>
      <c r="N445" t="s">
        <v>145</v>
      </c>
    </row>
    <row r="446" spans="1:14" x14ac:dyDescent="0.2">
      <c r="A446">
        <v>734023</v>
      </c>
      <c r="B446">
        <f>YEAR(#REF!)</f>
        <v>2014</v>
      </c>
      <c r="C446" t="s">
        <v>506</v>
      </c>
      <c r="D446" s="1">
        <v>41779</v>
      </c>
      <c r="E446" t="s">
        <v>29</v>
      </c>
      <c r="F446" t="s">
        <v>15</v>
      </c>
      <c r="H446" t="s">
        <v>29</v>
      </c>
      <c r="I446" t="s">
        <v>89</v>
      </c>
      <c r="J446" t="s">
        <v>78</v>
      </c>
      <c r="K446" t="s">
        <v>29</v>
      </c>
      <c r="L446" t="s">
        <v>192</v>
      </c>
      <c r="M446" t="s">
        <v>134</v>
      </c>
      <c r="N446" t="s">
        <v>135</v>
      </c>
    </row>
    <row r="447" spans="1:14" x14ac:dyDescent="0.2">
      <c r="A447">
        <v>734025</v>
      </c>
      <c r="B447">
        <f>YEAR(#REF!)</f>
        <v>2014</v>
      </c>
      <c r="C447" t="s">
        <v>506</v>
      </c>
      <c r="D447" s="1">
        <v>41780</v>
      </c>
      <c r="E447" t="s">
        <v>33</v>
      </c>
      <c r="F447" t="s">
        <v>24</v>
      </c>
      <c r="H447" t="s">
        <v>24</v>
      </c>
      <c r="I447" t="s">
        <v>89</v>
      </c>
      <c r="J447" t="s">
        <v>78</v>
      </c>
      <c r="K447" t="s">
        <v>24</v>
      </c>
      <c r="L447" t="s">
        <v>419</v>
      </c>
      <c r="M447" t="s">
        <v>112</v>
      </c>
      <c r="N447" t="s">
        <v>95</v>
      </c>
    </row>
    <row r="448" spans="1:14" x14ac:dyDescent="0.2">
      <c r="A448">
        <v>734027</v>
      </c>
      <c r="B448">
        <f>YEAR(#REF!)</f>
        <v>2014</v>
      </c>
      <c r="C448" t="s">
        <v>506</v>
      </c>
      <c r="D448" s="1">
        <v>41781</v>
      </c>
      <c r="E448" t="s">
        <v>29</v>
      </c>
      <c r="F448" t="s">
        <v>20</v>
      </c>
      <c r="H448" t="s">
        <v>20</v>
      </c>
      <c r="I448" t="s">
        <v>89</v>
      </c>
      <c r="J448" t="s">
        <v>78</v>
      </c>
      <c r="K448" t="s">
        <v>29</v>
      </c>
      <c r="L448" t="s">
        <v>192</v>
      </c>
      <c r="M448" t="s">
        <v>134</v>
      </c>
      <c r="N448" t="s">
        <v>135</v>
      </c>
    </row>
    <row r="449" spans="1:14" x14ac:dyDescent="0.2">
      <c r="A449">
        <v>734029</v>
      </c>
      <c r="B449">
        <f>YEAR(#REF!)</f>
        <v>2014</v>
      </c>
      <c r="C449" t="s">
        <v>506</v>
      </c>
      <c r="D449" s="1">
        <v>41781</v>
      </c>
      <c r="E449" t="s">
        <v>15</v>
      </c>
      <c r="F449" t="s">
        <v>39</v>
      </c>
      <c r="H449" t="s">
        <v>39</v>
      </c>
      <c r="I449" t="s">
        <v>89</v>
      </c>
      <c r="J449" t="s">
        <v>78</v>
      </c>
      <c r="K449" t="s">
        <v>39</v>
      </c>
      <c r="L449" t="s">
        <v>80</v>
      </c>
      <c r="M449" t="s">
        <v>115</v>
      </c>
      <c r="N449" t="s">
        <v>116</v>
      </c>
    </row>
    <row r="450" spans="1:14" x14ac:dyDescent="0.2">
      <c r="A450">
        <v>734031</v>
      </c>
      <c r="B450">
        <f>YEAR(#REF!)</f>
        <v>2014</v>
      </c>
      <c r="C450" t="s">
        <v>506</v>
      </c>
      <c r="D450" s="1">
        <v>41782</v>
      </c>
      <c r="E450" t="s">
        <v>24</v>
      </c>
      <c r="F450" t="s">
        <v>76</v>
      </c>
      <c r="H450" t="s">
        <v>76</v>
      </c>
      <c r="I450" t="s">
        <v>89</v>
      </c>
      <c r="J450" t="s">
        <v>78</v>
      </c>
      <c r="K450" t="s">
        <v>24</v>
      </c>
      <c r="L450" t="s">
        <v>142</v>
      </c>
      <c r="M450" t="s">
        <v>97</v>
      </c>
      <c r="N450" t="s">
        <v>92</v>
      </c>
    </row>
    <row r="451" spans="1:14" x14ac:dyDescent="0.2">
      <c r="A451">
        <v>734033</v>
      </c>
      <c r="B451">
        <f>YEAR(#REF!)</f>
        <v>2014</v>
      </c>
      <c r="C451" t="s">
        <v>506</v>
      </c>
      <c r="D451" s="1">
        <v>41782</v>
      </c>
      <c r="E451" t="s">
        <v>33</v>
      </c>
      <c r="F451" t="s">
        <v>14</v>
      </c>
      <c r="H451" t="s">
        <v>14</v>
      </c>
      <c r="I451" t="s">
        <v>89</v>
      </c>
      <c r="J451" t="s">
        <v>78</v>
      </c>
      <c r="K451" t="s">
        <v>33</v>
      </c>
      <c r="L451" t="s">
        <v>150</v>
      </c>
      <c r="M451" t="s">
        <v>112</v>
      </c>
      <c r="N451" t="s">
        <v>95</v>
      </c>
    </row>
    <row r="452" spans="1:14" x14ac:dyDescent="0.2">
      <c r="A452">
        <v>734035</v>
      </c>
      <c r="B452">
        <f>YEAR(#REF!)</f>
        <v>2014</v>
      </c>
      <c r="C452" t="s">
        <v>506</v>
      </c>
      <c r="D452" s="1">
        <v>41783</v>
      </c>
      <c r="E452" t="s">
        <v>20</v>
      </c>
      <c r="F452" t="s">
        <v>15</v>
      </c>
      <c r="H452" t="s">
        <v>15</v>
      </c>
      <c r="I452" t="s">
        <v>89</v>
      </c>
      <c r="J452" t="s">
        <v>78</v>
      </c>
      <c r="K452" t="s">
        <v>15</v>
      </c>
      <c r="L452" t="s">
        <v>119</v>
      </c>
      <c r="M452" t="s">
        <v>196</v>
      </c>
      <c r="N452" t="s">
        <v>197</v>
      </c>
    </row>
    <row r="453" spans="1:14" x14ac:dyDescent="0.2">
      <c r="A453">
        <v>734037</v>
      </c>
      <c r="B453">
        <f>YEAR(#REF!)</f>
        <v>2014</v>
      </c>
      <c r="C453" t="s">
        <v>506</v>
      </c>
      <c r="D453" s="1">
        <v>41783</v>
      </c>
      <c r="E453" t="s">
        <v>29</v>
      </c>
      <c r="F453" t="s">
        <v>39</v>
      </c>
      <c r="H453" t="s">
        <v>29</v>
      </c>
      <c r="I453" t="s">
        <v>89</v>
      </c>
      <c r="J453" t="s">
        <v>78</v>
      </c>
      <c r="K453" t="s">
        <v>29</v>
      </c>
      <c r="L453" t="s">
        <v>199</v>
      </c>
      <c r="M453" t="s">
        <v>134</v>
      </c>
      <c r="N453" t="s">
        <v>135</v>
      </c>
    </row>
    <row r="454" spans="1:14" x14ac:dyDescent="0.2">
      <c r="A454">
        <v>734039</v>
      </c>
      <c r="B454">
        <f>YEAR(#REF!)</f>
        <v>2014</v>
      </c>
      <c r="C454" t="s">
        <v>506</v>
      </c>
      <c r="D454" s="1">
        <v>41784</v>
      </c>
      <c r="E454" t="s">
        <v>33</v>
      </c>
      <c r="F454" t="s">
        <v>76</v>
      </c>
      <c r="H454" t="s">
        <v>33</v>
      </c>
      <c r="I454" t="s">
        <v>89</v>
      </c>
      <c r="J454" t="s">
        <v>78</v>
      </c>
      <c r="K454" t="s">
        <v>33</v>
      </c>
      <c r="L454" t="s">
        <v>219</v>
      </c>
      <c r="M454" t="s">
        <v>112</v>
      </c>
      <c r="N454" t="s">
        <v>95</v>
      </c>
    </row>
    <row r="455" spans="1:14" x14ac:dyDescent="0.2">
      <c r="A455">
        <v>734041</v>
      </c>
      <c r="B455">
        <f>YEAR(#REF!)</f>
        <v>2014</v>
      </c>
      <c r="C455" t="s">
        <v>506</v>
      </c>
      <c r="D455" s="1">
        <v>41784</v>
      </c>
      <c r="E455" t="s">
        <v>24</v>
      </c>
      <c r="F455" t="s">
        <v>14</v>
      </c>
      <c r="H455" t="s">
        <v>24</v>
      </c>
      <c r="I455" t="s">
        <v>89</v>
      </c>
      <c r="J455" t="s">
        <v>78</v>
      </c>
      <c r="K455" t="s">
        <v>24</v>
      </c>
      <c r="L455" t="s">
        <v>348</v>
      </c>
      <c r="M455" t="s">
        <v>97</v>
      </c>
      <c r="N455" t="s">
        <v>92</v>
      </c>
    </row>
    <row r="456" spans="1:14" x14ac:dyDescent="0.2">
      <c r="A456">
        <v>734043</v>
      </c>
      <c r="B456">
        <f>YEAR(#REF!)</f>
        <v>2014</v>
      </c>
      <c r="C456" t="s">
        <v>506</v>
      </c>
      <c r="D456" s="1">
        <v>41786</v>
      </c>
      <c r="E456" t="s">
        <v>33</v>
      </c>
      <c r="F456" t="s">
        <v>29</v>
      </c>
      <c r="H456" t="s">
        <v>33</v>
      </c>
      <c r="I456" t="s">
        <v>89</v>
      </c>
      <c r="J456" t="s">
        <v>78</v>
      </c>
      <c r="K456" t="s">
        <v>29</v>
      </c>
      <c r="L456" t="s">
        <v>240</v>
      </c>
      <c r="M456" t="s">
        <v>134</v>
      </c>
      <c r="N456" t="s">
        <v>135</v>
      </c>
    </row>
    <row r="457" spans="1:14" x14ac:dyDescent="0.2">
      <c r="A457">
        <v>734045</v>
      </c>
      <c r="B457">
        <f>YEAR(#REF!)</f>
        <v>2014</v>
      </c>
      <c r="C457" t="s">
        <v>506</v>
      </c>
      <c r="D457" s="1">
        <v>41787</v>
      </c>
      <c r="E457" t="s">
        <v>15</v>
      </c>
      <c r="F457" t="s">
        <v>24</v>
      </c>
      <c r="H457" t="s">
        <v>15</v>
      </c>
      <c r="I457" t="s">
        <v>89</v>
      </c>
      <c r="J457" t="s">
        <v>78</v>
      </c>
      <c r="K457" t="s">
        <v>15</v>
      </c>
      <c r="L457" t="s">
        <v>259</v>
      </c>
      <c r="M457" t="s">
        <v>232</v>
      </c>
      <c r="N457" t="s">
        <v>92</v>
      </c>
    </row>
    <row r="458" spans="1:14" x14ac:dyDescent="0.2">
      <c r="A458">
        <v>734047</v>
      </c>
      <c r="B458">
        <f>YEAR(#REF!)</f>
        <v>2014</v>
      </c>
      <c r="C458" t="s">
        <v>506</v>
      </c>
      <c r="D458" s="1">
        <v>41789</v>
      </c>
      <c r="E458" t="s">
        <v>15</v>
      </c>
      <c r="F458" t="s">
        <v>33</v>
      </c>
      <c r="H458" t="s">
        <v>15</v>
      </c>
      <c r="I458" t="s">
        <v>89</v>
      </c>
      <c r="J458" t="s">
        <v>78</v>
      </c>
      <c r="K458" t="s">
        <v>33</v>
      </c>
      <c r="L458" t="s">
        <v>319</v>
      </c>
      <c r="M458" t="s">
        <v>97</v>
      </c>
      <c r="N458" t="s">
        <v>92</v>
      </c>
    </row>
    <row r="459" spans="1:14" x14ac:dyDescent="0.2">
      <c r="A459">
        <v>734049</v>
      </c>
      <c r="B459">
        <f>YEAR(#REF!)</f>
        <v>2014</v>
      </c>
      <c r="C459" t="s">
        <v>506</v>
      </c>
      <c r="D459" s="1">
        <v>41791</v>
      </c>
      <c r="E459" t="s">
        <v>29</v>
      </c>
      <c r="F459" t="s">
        <v>33</v>
      </c>
      <c r="H459" t="s">
        <v>29</v>
      </c>
      <c r="I459" t="s">
        <v>89</v>
      </c>
      <c r="J459" t="s">
        <v>78</v>
      </c>
      <c r="K459" t="s">
        <v>29</v>
      </c>
      <c r="L459" t="s">
        <v>253</v>
      </c>
      <c r="M459" t="s">
        <v>196</v>
      </c>
      <c r="N459" t="s">
        <v>197</v>
      </c>
    </row>
    <row r="460" spans="1:14" x14ac:dyDescent="0.2">
      <c r="A460">
        <v>829705</v>
      </c>
      <c r="B460">
        <f>YEAR(#REF!)</f>
        <v>2015</v>
      </c>
      <c r="C460" t="s">
        <v>507</v>
      </c>
      <c r="D460" s="1">
        <v>42102</v>
      </c>
      <c r="E460" t="s">
        <v>29</v>
      </c>
      <c r="F460" t="s">
        <v>24</v>
      </c>
      <c r="H460" t="s">
        <v>29</v>
      </c>
      <c r="I460" t="s">
        <v>89</v>
      </c>
      <c r="J460" t="s">
        <v>78</v>
      </c>
      <c r="K460" t="s">
        <v>29</v>
      </c>
      <c r="L460" t="s">
        <v>238</v>
      </c>
      <c r="M460" t="s">
        <v>134</v>
      </c>
      <c r="N460" t="s">
        <v>135</v>
      </c>
    </row>
    <row r="461" spans="1:14" x14ac:dyDescent="0.2">
      <c r="A461">
        <v>829707</v>
      </c>
      <c r="B461">
        <f>YEAR(#REF!)</f>
        <v>2015</v>
      </c>
      <c r="C461" t="s">
        <v>507</v>
      </c>
      <c r="D461" s="1">
        <v>42103</v>
      </c>
      <c r="E461" t="s">
        <v>15</v>
      </c>
      <c r="F461" t="s">
        <v>76</v>
      </c>
      <c r="H461" t="s">
        <v>76</v>
      </c>
      <c r="I461" t="s">
        <v>89</v>
      </c>
      <c r="J461" t="s">
        <v>78</v>
      </c>
      <c r="K461" t="s">
        <v>15</v>
      </c>
      <c r="L461" t="s">
        <v>114</v>
      </c>
      <c r="M461" t="s">
        <v>120</v>
      </c>
      <c r="N461" t="s">
        <v>107</v>
      </c>
    </row>
    <row r="462" spans="1:14" x14ac:dyDescent="0.2">
      <c r="A462">
        <v>829709</v>
      </c>
      <c r="B462">
        <f>YEAR(#REF!)</f>
        <v>2015</v>
      </c>
      <c r="C462" t="s">
        <v>507</v>
      </c>
      <c r="D462" s="1">
        <v>42104</v>
      </c>
      <c r="E462" t="s">
        <v>33</v>
      </c>
      <c r="F462" t="s">
        <v>14</v>
      </c>
      <c r="H462" t="s">
        <v>33</v>
      </c>
      <c r="I462" t="s">
        <v>89</v>
      </c>
      <c r="J462" t="s">
        <v>78</v>
      </c>
      <c r="K462" t="s">
        <v>14</v>
      </c>
      <c r="L462" t="s">
        <v>256</v>
      </c>
      <c r="M462" t="s">
        <v>255</v>
      </c>
      <c r="N462" t="s">
        <v>163</v>
      </c>
    </row>
    <row r="463" spans="1:14" x14ac:dyDescent="0.2">
      <c r="A463">
        <v>829713</v>
      </c>
      <c r="B463">
        <f>YEAR(#REF!)</f>
        <v>2015</v>
      </c>
      <c r="C463" t="s">
        <v>507</v>
      </c>
      <c r="D463" s="1">
        <v>42105</v>
      </c>
      <c r="E463" t="s">
        <v>29</v>
      </c>
      <c r="F463" t="s">
        <v>20</v>
      </c>
      <c r="H463" t="s">
        <v>20</v>
      </c>
      <c r="I463" t="s">
        <v>89</v>
      </c>
      <c r="J463" t="s">
        <v>78</v>
      </c>
      <c r="K463" t="s">
        <v>20</v>
      </c>
      <c r="L463" t="s">
        <v>214</v>
      </c>
      <c r="M463" t="s">
        <v>134</v>
      </c>
      <c r="N463" t="s">
        <v>135</v>
      </c>
    </row>
    <row r="464" spans="1:14" x14ac:dyDescent="0.2">
      <c r="A464">
        <v>829711</v>
      </c>
      <c r="B464">
        <f>YEAR(#REF!)</f>
        <v>2015</v>
      </c>
      <c r="C464" t="s">
        <v>507</v>
      </c>
      <c r="D464" s="1">
        <v>42105</v>
      </c>
      <c r="E464" t="s">
        <v>15</v>
      </c>
      <c r="F464" t="s">
        <v>39</v>
      </c>
      <c r="H464" t="s">
        <v>15</v>
      </c>
      <c r="I464" t="s">
        <v>77</v>
      </c>
      <c r="J464" t="s">
        <v>78</v>
      </c>
      <c r="K464" t="s">
        <v>15</v>
      </c>
      <c r="L464" t="s">
        <v>195</v>
      </c>
      <c r="M464" t="s">
        <v>120</v>
      </c>
      <c r="N464" t="s">
        <v>107</v>
      </c>
    </row>
    <row r="465" spans="1:14" x14ac:dyDescent="0.2">
      <c r="A465">
        <v>829715</v>
      </c>
      <c r="B465">
        <f>YEAR(#REF!)</f>
        <v>2015</v>
      </c>
      <c r="C465" t="s">
        <v>507</v>
      </c>
      <c r="D465" s="1">
        <v>42106</v>
      </c>
      <c r="E465" t="s">
        <v>76</v>
      </c>
      <c r="F465" t="s">
        <v>14</v>
      </c>
      <c r="H465" t="s">
        <v>14</v>
      </c>
      <c r="I465" t="s">
        <v>89</v>
      </c>
      <c r="J465" t="s">
        <v>78</v>
      </c>
      <c r="K465" t="s">
        <v>14</v>
      </c>
      <c r="L465" t="s">
        <v>412</v>
      </c>
      <c r="M465" t="s">
        <v>87</v>
      </c>
      <c r="N465" t="s">
        <v>88</v>
      </c>
    </row>
    <row r="466" spans="1:14" x14ac:dyDescent="0.2">
      <c r="A466">
        <v>829717</v>
      </c>
      <c r="B466">
        <f>YEAR(#REF!)</f>
        <v>2015</v>
      </c>
      <c r="C466" t="s">
        <v>507</v>
      </c>
      <c r="D466" s="1">
        <v>42106</v>
      </c>
      <c r="E466" t="s">
        <v>24</v>
      </c>
      <c r="F466" t="s">
        <v>33</v>
      </c>
      <c r="H466" t="s">
        <v>24</v>
      </c>
      <c r="I466" t="s">
        <v>89</v>
      </c>
      <c r="J466" t="s">
        <v>78</v>
      </c>
      <c r="K466" t="s">
        <v>33</v>
      </c>
      <c r="L466" t="s">
        <v>459</v>
      </c>
      <c r="M466" t="s">
        <v>97</v>
      </c>
      <c r="N466" t="s">
        <v>92</v>
      </c>
    </row>
    <row r="467" spans="1:14" x14ac:dyDescent="0.2">
      <c r="A467">
        <v>829719</v>
      </c>
      <c r="B467">
        <f>YEAR(#REF!)</f>
        <v>2015</v>
      </c>
      <c r="C467" t="s">
        <v>507</v>
      </c>
      <c r="D467" s="1">
        <v>42107</v>
      </c>
      <c r="E467" t="s">
        <v>20</v>
      </c>
      <c r="F467" t="s">
        <v>39</v>
      </c>
      <c r="H467" t="s">
        <v>39</v>
      </c>
      <c r="I467" t="s">
        <v>89</v>
      </c>
      <c r="J467" t="s">
        <v>78</v>
      </c>
      <c r="K467" t="s">
        <v>39</v>
      </c>
      <c r="L467" t="s">
        <v>80</v>
      </c>
      <c r="M467" t="s">
        <v>196</v>
      </c>
      <c r="N467" t="s">
        <v>197</v>
      </c>
    </row>
    <row r="468" spans="1:14" x14ac:dyDescent="0.2">
      <c r="A468">
        <v>829721</v>
      </c>
      <c r="B468">
        <f>YEAR(#REF!)</f>
        <v>2015</v>
      </c>
      <c r="C468" t="s">
        <v>507</v>
      </c>
      <c r="D468" s="1">
        <v>42108</v>
      </c>
      <c r="E468" t="s">
        <v>14</v>
      </c>
      <c r="F468" t="s">
        <v>24</v>
      </c>
      <c r="H468" t="s">
        <v>24</v>
      </c>
      <c r="I468" t="s">
        <v>77</v>
      </c>
      <c r="J468" t="s">
        <v>78</v>
      </c>
      <c r="K468" t="s">
        <v>14</v>
      </c>
      <c r="L468" t="s">
        <v>237</v>
      </c>
      <c r="M468" t="s">
        <v>185</v>
      </c>
      <c r="N468" t="s">
        <v>130</v>
      </c>
    </row>
    <row r="469" spans="1:14" x14ac:dyDescent="0.2">
      <c r="A469">
        <v>829725</v>
      </c>
      <c r="B469">
        <f>YEAR(#REF!)</f>
        <v>2015</v>
      </c>
      <c r="C469" t="s">
        <v>507</v>
      </c>
      <c r="D469" s="1">
        <v>42109</v>
      </c>
      <c r="E469" t="s">
        <v>33</v>
      </c>
      <c r="F469" t="s">
        <v>76</v>
      </c>
      <c r="H469" t="s">
        <v>33</v>
      </c>
      <c r="I469" t="s">
        <v>77</v>
      </c>
      <c r="J469" t="s">
        <v>78</v>
      </c>
      <c r="K469" t="s">
        <v>76</v>
      </c>
      <c r="L469" t="s">
        <v>230</v>
      </c>
      <c r="M469" t="s">
        <v>255</v>
      </c>
      <c r="N469" t="s">
        <v>163</v>
      </c>
    </row>
    <row r="470" spans="1:14" x14ac:dyDescent="0.2">
      <c r="A470">
        <v>829727</v>
      </c>
      <c r="B470">
        <f>YEAR(#REF!)</f>
        <v>2015</v>
      </c>
      <c r="C470" t="s">
        <v>507</v>
      </c>
      <c r="D470" s="1">
        <v>42110</v>
      </c>
      <c r="E470" t="s">
        <v>39</v>
      </c>
      <c r="F470" t="s">
        <v>14</v>
      </c>
      <c r="H470" t="s">
        <v>14</v>
      </c>
      <c r="I470" t="s">
        <v>89</v>
      </c>
      <c r="J470" t="s">
        <v>78</v>
      </c>
      <c r="K470" t="s">
        <v>14</v>
      </c>
      <c r="L470" t="s">
        <v>263</v>
      </c>
      <c r="M470" t="s">
        <v>126</v>
      </c>
      <c r="N470" t="s">
        <v>127</v>
      </c>
    </row>
    <row r="471" spans="1:14" x14ac:dyDescent="0.2">
      <c r="A471">
        <v>829729</v>
      </c>
      <c r="B471">
        <f>YEAR(#REF!)</f>
        <v>2015</v>
      </c>
      <c r="C471" t="s">
        <v>507</v>
      </c>
      <c r="D471" s="1">
        <v>42111</v>
      </c>
      <c r="E471" t="s">
        <v>24</v>
      </c>
      <c r="F471" t="s">
        <v>15</v>
      </c>
      <c r="H471" t="s">
        <v>24</v>
      </c>
      <c r="I471" t="s">
        <v>77</v>
      </c>
      <c r="J471" t="s">
        <v>78</v>
      </c>
      <c r="K471" t="s">
        <v>15</v>
      </c>
      <c r="L471" t="s">
        <v>114</v>
      </c>
      <c r="M471" t="s">
        <v>97</v>
      </c>
      <c r="N471" t="s">
        <v>92</v>
      </c>
    </row>
    <row r="472" spans="1:14" x14ac:dyDescent="0.2">
      <c r="A472">
        <v>829731</v>
      </c>
      <c r="B472">
        <f>YEAR(#REF!)</f>
        <v>2015</v>
      </c>
      <c r="C472" t="s">
        <v>507</v>
      </c>
      <c r="D472" s="1">
        <v>42112</v>
      </c>
      <c r="E472" t="s">
        <v>39</v>
      </c>
      <c r="F472" t="s">
        <v>76</v>
      </c>
      <c r="H472" t="s">
        <v>76</v>
      </c>
      <c r="I472" t="s">
        <v>77</v>
      </c>
      <c r="J472" t="s">
        <v>78</v>
      </c>
      <c r="K472" t="s">
        <v>76</v>
      </c>
      <c r="L472" t="s">
        <v>274</v>
      </c>
      <c r="M472" t="s">
        <v>126</v>
      </c>
      <c r="N472" t="s">
        <v>127</v>
      </c>
    </row>
    <row r="473" spans="1:14" x14ac:dyDescent="0.2">
      <c r="A473">
        <v>829733</v>
      </c>
      <c r="B473">
        <f>YEAR(#REF!)</f>
        <v>2015</v>
      </c>
      <c r="C473" t="s">
        <v>507</v>
      </c>
      <c r="D473" s="1">
        <v>42112</v>
      </c>
      <c r="E473" t="s">
        <v>33</v>
      </c>
      <c r="F473" t="s">
        <v>29</v>
      </c>
      <c r="H473" t="s">
        <v>29</v>
      </c>
      <c r="I473" t="s">
        <v>89</v>
      </c>
      <c r="J473" t="s">
        <v>78</v>
      </c>
      <c r="K473" t="s">
        <v>29</v>
      </c>
      <c r="L473" t="s">
        <v>140</v>
      </c>
      <c r="M473" t="s">
        <v>255</v>
      </c>
      <c r="N473" t="s">
        <v>163</v>
      </c>
    </row>
    <row r="474" spans="1:14" x14ac:dyDescent="0.2">
      <c r="A474">
        <v>829735</v>
      </c>
      <c r="B474">
        <f>YEAR(#REF!)</f>
        <v>2015</v>
      </c>
      <c r="C474" t="s">
        <v>507</v>
      </c>
      <c r="D474" s="1">
        <v>42113</v>
      </c>
      <c r="E474" t="s">
        <v>14</v>
      </c>
      <c r="F474" t="s">
        <v>15</v>
      </c>
      <c r="H474" t="s">
        <v>15</v>
      </c>
      <c r="I474" t="s">
        <v>77</v>
      </c>
      <c r="J474" t="s">
        <v>78</v>
      </c>
      <c r="K474" t="s">
        <v>14</v>
      </c>
      <c r="L474" t="s">
        <v>263</v>
      </c>
      <c r="M474" t="s">
        <v>185</v>
      </c>
      <c r="N474" t="s">
        <v>130</v>
      </c>
    </row>
    <row r="475" spans="1:14" x14ac:dyDescent="0.2">
      <c r="A475">
        <v>829737</v>
      </c>
      <c r="B475">
        <f>YEAR(#REF!)</f>
        <v>2015</v>
      </c>
      <c r="C475" t="s">
        <v>507</v>
      </c>
      <c r="D475" s="1">
        <v>42113</v>
      </c>
      <c r="E475" t="s">
        <v>20</v>
      </c>
      <c r="F475" t="s">
        <v>24</v>
      </c>
      <c r="H475" t="s">
        <v>20</v>
      </c>
      <c r="I475" t="s">
        <v>89</v>
      </c>
      <c r="J475" t="s">
        <v>78</v>
      </c>
      <c r="K475" t="s">
        <v>24</v>
      </c>
      <c r="L475" t="s">
        <v>101</v>
      </c>
      <c r="M475" t="s">
        <v>196</v>
      </c>
      <c r="N475" t="s">
        <v>197</v>
      </c>
    </row>
    <row r="476" spans="1:14" x14ac:dyDescent="0.2">
      <c r="A476">
        <v>829739</v>
      </c>
      <c r="B476">
        <f>YEAR(#REF!)</f>
        <v>2015</v>
      </c>
      <c r="C476" t="s">
        <v>507</v>
      </c>
      <c r="D476" s="1">
        <v>42114</v>
      </c>
      <c r="E476" t="s">
        <v>76</v>
      </c>
      <c r="F476" t="s">
        <v>29</v>
      </c>
      <c r="H476" t="s">
        <v>29</v>
      </c>
      <c r="I476" t="s">
        <v>89</v>
      </c>
      <c r="J476" t="s">
        <v>78</v>
      </c>
      <c r="K476" t="s">
        <v>29</v>
      </c>
      <c r="L476" t="s">
        <v>240</v>
      </c>
      <c r="M476" t="s">
        <v>87</v>
      </c>
      <c r="N476" t="s">
        <v>88</v>
      </c>
    </row>
    <row r="477" spans="1:14" x14ac:dyDescent="0.2">
      <c r="A477">
        <v>829741</v>
      </c>
      <c r="B477">
        <f>YEAR(#REF!)</f>
        <v>2015</v>
      </c>
      <c r="C477" t="s">
        <v>507</v>
      </c>
      <c r="D477" s="1">
        <v>42115</v>
      </c>
      <c r="E477" t="s">
        <v>14</v>
      </c>
      <c r="F477" t="s">
        <v>33</v>
      </c>
      <c r="H477" t="s">
        <v>33</v>
      </c>
      <c r="I477" t="s">
        <v>89</v>
      </c>
      <c r="J477" t="s">
        <v>310</v>
      </c>
      <c r="K477" t="s">
        <v>79</v>
      </c>
      <c r="L477" t="s">
        <v>150</v>
      </c>
      <c r="M477" t="s">
        <v>185</v>
      </c>
      <c r="N477" t="s">
        <v>130</v>
      </c>
    </row>
    <row r="478" spans="1:14" x14ac:dyDescent="0.2">
      <c r="A478">
        <v>829743</v>
      </c>
      <c r="B478">
        <f>YEAR(#REF!)</f>
        <v>2015</v>
      </c>
      <c r="C478" t="s">
        <v>507</v>
      </c>
      <c r="D478" s="1">
        <v>42116</v>
      </c>
      <c r="E478" t="s">
        <v>39</v>
      </c>
      <c r="F478" t="s">
        <v>29</v>
      </c>
      <c r="H478" t="s">
        <v>29</v>
      </c>
      <c r="I478" t="s">
        <v>89</v>
      </c>
      <c r="J478" t="s">
        <v>78</v>
      </c>
      <c r="K478" t="s">
        <v>39</v>
      </c>
      <c r="L478" t="s">
        <v>80</v>
      </c>
      <c r="M478" t="s">
        <v>126</v>
      </c>
      <c r="N478" t="s">
        <v>127</v>
      </c>
    </row>
    <row r="479" spans="1:14" x14ac:dyDescent="0.2">
      <c r="A479">
        <v>829745</v>
      </c>
      <c r="B479">
        <f>YEAR(#REF!)</f>
        <v>2015</v>
      </c>
      <c r="C479" t="s">
        <v>507</v>
      </c>
      <c r="D479" s="1">
        <v>42116</v>
      </c>
      <c r="E479" t="s">
        <v>20</v>
      </c>
      <c r="F479" t="s">
        <v>15</v>
      </c>
      <c r="H479" t="s">
        <v>20</v>
      </c>
      <c r="I479" t="s">
        <v>89</v>
      </c>
      <c r="J479" t="s">
        <v>78</v>
      </c>
      <c r="K479" t="s">
        <v>15</v>
      </c>
      <c r="L479" t="s">
        <v>259</v>
      </c>
      <c r="M479" t="s">
        <v>196</v>
      </c>
      <c r="N479" t="s">
        <v>197</v>
      </c>
    </row>
    <row r="480" spans="1:14" x14ac:dyDescent="0.2">
      <c r="A480">
        <v>829747</v>
      </c>
      <c r="B480">
        <f>YEAR(#REF!)</f>
        <v>2015</v>
      </c>
      <c r="C480" t="s">
        <v>507</v>
      </c>
      <c r="D480" s="1">
        <v>42117</v>
      </c>
      <c r="E480" t="s">
        <v>76</v>
      </c>
      <c r="F480" t="s">
        <v>24</v>
      </c>
      <c r="H480" t="s">
        <v>24</v>
      </c>
      <c r="I480" t="s">
        <v>89</v>
      </c>
      <c r="J480" t="s">
        <v>78</v>
      </c>
      <c r="K480" t="s">
        <v>76</v>
      </c>
      <c r="L480" t="s">
        <v>128</v>
      </c>
      <c r="M480" t="s">
        <v>87</v>
      </c>
      <c r="N480" t="s">
        <v>88</v>
      </c>
    </row>
    <row r="481" spans="1:14" x14ac:dyDescent="0.2">
      <c r="A481">
        <v>829749</v>
      </c>
      <c r="B481">
        <f>YEAR(#REF!)</f>
        <v>2015</v>
      </c>
      <c r="C481" t="s">
        <v>507</v>
      </c>
      <c r="D481" s="1">
        <v>42118</v>
      </c>
      <c r="E481" t="s">
        <v>14</v>
      </c>
      <c r="F481" t="s">
        <v>20</v>
      </c>
      <c r="H481" t="s">
        <v>20</v>
      </c>
      <c r="I481" t="s">
        <v>89</v>
      </c>
      <c r="J481" t="s">
        <v>78</v>
      </c>
      <c r="K481" t="s">
        <v>20</v>
      </c>
      <c r="L481" t="s">
        <v>105</v>
      </c>
      <c r="M481" t="s">
        <v>185</v>
      </c>
      <c r="N481" t="s">
        <v>130</v>
      </c>
    </row>
    <row r="482" spans="1:14" x14ac:dyDescent="0.2">
      <c r="A482">
        <v>829753</v>
      </c>
      <c r="B482">
        <f>YEAR(#REF!)</f>
        <v>2015</v>
      </c>
      <c r="C482" t="s">
        <v>507</v>
      </c>
      <c r="D482" s="1">
        <v>42119</v>
      </c>
      <c r="E482" t="s">
        <v>15</v>
      </c>
      <c r="F482" t="s">
        <v>33</v>
      </c>
      <c r="H482" t="s">
        <v>15</v>
      </c>
      <c r="I482" t="s">
        <v>77</v>
      </c>
      <c r="J482" t="s">
        <v>78</v>
      </c>
      <c r="K482" t="s">
        <v>15</v>
      </c>
      <c r="L482" t="s">
        <v>195</v>
      </c>
      <c r="M482" t="s">
        <v>120</v>
      </c>
      <c r="N482" t="s">
        <v>107</v>
      </c>
    </row>
    <row r="483" spans="1:14" x14ac:dyDescent="0.2">
      <c r="A483">
        <v>829751</v>
      </c>
      <c r="B483">
        <f>YEAR(#REF!)</f>
        <v>2015</v>
      </c>
      <c r="C483" t="s">
        <v>507</v>
      </c>
      <c r="D483" s="1">
        <v>42119</v>
      </c>
      <c r="E483" t="s">
        <v>24</v>
      </c>
      <c r="F483" t="s">
        <v>39</v>
      </c>
      <c r="H483" t="s">
        <v>24</v>
      </c>
      <c r="I483" t="s">
        <v>77</v>
      </c>
      <c r="J483" t="s">
        <v>78</v>
      </c>
      <c r="K483" t="s">
        <v>24</v>
      </c>
      <c r="L483" t="s">
        <v>161</v>
      </c>
      <c r="M483" t="s">
        <v>97</v>
      </c>
      <c r="N483" t="s">
        <v>92</v>
      </c>
    </row>
    <row r="484" spans="1:14" x14ac:dyDescent="0.2">
      <c r="A484">
        <v>829757</v>
      </c>
      <c r="B484">
        <f>YEAR(#REF!)</f>
        <v>2015</v>
      </c>
      <c r="C484" t="s">
        <v>507</v>
      </c>
      <c r="D484" s="1">
        <v>42120</v>
      </c>
      <c r="E484" t="s">
        <v>76</v>
      </c>
      <c r="F484" t="s">
        <v>20</v>
      </c>
      <c r="H484" t="s">
        <v>20</v>
      </c>
      <c r="I484" t="s">
        <v>89</v>
      </c>
      <c r="J484" t="s">
        <v>78</v>
      </c>
      <c r="K484" t="s">
        <v>20</v>
      </c>
      <c r="L484" t="s">
        <v>388</v>
      </c>
      <c r="M484" t="s">
        <v>87</v>
      </c>
      <c r="N484" t="s">
        <v>88</v>
      </c>
    </row>
    <row r="485" spans="1:14" x14ac:dyDescent="0.2">
      <c r="A485">
        <v>829759</v>
      </c>
      <c r="B485">
        <f>YEAR(#REF!)</f>
        <v>2015</v>
      </c>
      <c r="C485" t="s">
        <v>507</v>
      </c>
      <c r="D485" s="1">
        <v>42121</v>
      </c>
      <c r="E485" t="s">
        <v>33</v>
      </c>
      <c r="F485" t="s">
        <v>39</v>
      </c>
      <c r="H485" t="s">
        <v>33</v>
      </c>
      <c r="I485" t="s">
        <v>89</v>
      </c>
      <c r="J485" t="s">
        <v>78</v>
      </c>
      <c r="K485" t="s">
        <v>39</v>
      </c>
      <c r="L485" t="s">
        <v>207</v>
      </c>
      <c r="M485" t="s">
        <v>112</v>
      </c>
      <c r="N485" t="s">
        <v>95</v>
      </c>
    </row>
    <row r="486" spans="1:14" x14ac:dyDescent="0.2">
      <c r="A486">
        <v>829765</v>
      </c>
      <c r="B486">
        <f>YEAR(#REF!)</f>
        <v>2015</v>
      </c>
      <c r="C486" t="s">
        <v>507</v>
      </c>
      <c r="D486" s="1">
        <v>42122</v>
      </c>
      <c r="E486" t="s">
        <v>15</v>
      </c>
      <c r="F486" t="s">
        <v>29</v>
      </c>
      <c r="H486" t="s">
        <v>29</v>
      </c>
      <c r="I486" t="s">
        <v>89</v>
      </c>
      <c r="J486" t="s">
        <v>78</v>
      </c>
      <c r="K486" t="s">
        <v>15</v>
      </c>
      <c r="L486" t="s">
        <v>368</v>
      </c>
      <c r="M486" t="s">
        <v>120</v>
      </c>
      <c r="N486" t="s">
        <v>107</v>
      </c>
    </row>
    <row r="487" spans="1:14" x14ac:dyDescent="0.2">
      <c r="A487">
        <v>829763</v>
      </c>
      <c r="B487">
        <f>YEAR(#REF!)</f>
        <v>2015</v>
      </c>
      <c r="C487" t="s">
        <v>507</v>
      </c>
      <c r="D487" s="1">
        <v>42123</v>
      </c>
      <c r="E487" t="s">
        <v>20</v>
      </c>
      <c r="F487" t="s">
        <v>14</v>
      </c>
      <c r="H487" t="s">
        <v>14</v>
      </c>
      <c r="I487" t="s">
        <v>89</v>
      </c>
      <c r="J487" t="s">
        <v>180</v>
      </c>
      <c r="K487" t="s">
        <v>79</v>
      </c>
      <c r="L487" t="s">
        <v>181</v>
      </c>
      <c r="M487" t="s">
        <v>196</v>
      </c>
      <c r="N487" t="s">
        <v>197</v>
      </c>
    </row>
    <row r="488" spans="1:14" x14ac:dyDescent="0.2">
      <c r="A488">
        <v>829723</v>
      </c>
      <c r="B488">
        <f>YEAR(#REF!)</f>
        <v>2015</v>
      </c>
      <c r="C488" t="s">
        <v>507</v>
      </c>
      <c r="D488" s="1">
        <v>42124</v>
      </c>
      <c r="E488" t="s">
        <v>29</v>
      </c>
      <c r="F488" t="s">
        <v>15</v>
      </c>
      <c r="H488" t="s">
        <v>29</v>
      </c>
      <c r="I488" t="s">
        <v>89</v>
      </c>
      <c r="J488" t="s">
        <v>78</v>
      </c>
      <c r="K488" t="s">
        <v>29</v>
      </c>
      <c r="L488" t="s">
        <v>140</v>
      </c>
      <c r="M488" t="s">
        <v>134</v>
      </c>
      <c r="N488" t="s">
        <v>135</v>
      </c>
    </row>
    <row r="489" spans="1:14" x14ac:dyDescent="0.2">
      <c r="A489">
        <v>829767</v>
      </c>
      <c r="B489">
        <f>YEAR(#REF!)</f>
        <v>2015</v>
      </c>
      <c r="C489" t="s">
        <v>507</v>
      </c>
      <c r="D489" s="1">
        <v>42125</v>
      </c>
      <c r="E489" t="s">
        <v>76</v>
      </c>
      <c r="F489" t="s">
        <v>33</v>
      </c>
      <c r="H489" t="s">
        <v>76</v>
      </c>
      <c r="I489" t="s">
        <v>89</v>
      </c>
      <c r="J489" t="s">
        <v>78</v>
      </c>
      <c r="K489" t="s">
        <v>76</v>
      </c>
      <c r="L489" t="s">
        <v>221</v>
      </c>
      <c r="M489" t="s">
        <v>87</v>
      </c>
      <c r="N489" t="s">
        <v>88</v>
      </c>
    </row>
    <row r="490" spans="1:14" x14ac:dyDescent="0.2">
      <c r="A490">
        <v>829769</v>
      </c>
      <c r="B490">
        <f>YEAR(#REF!)</f>
        <v>2015</v>
      </c>
      <c r="C490" t="s">
        <v>507</v>
      </c>
      <c r="D490" s="1">
        <v>42125</v>
      </c>
      <c r="E490" t="s">
        <v>24</v>
      </c>
      <c r="F490" t="s">
        <v>14</v>
      </c>
      <c r="H490" t="s">
        <v>14</v>
      </c>
      <c r="I490" t="s">
        <v>89</v>
      </c>
      <c r="J490" t="s">
        <v>78</v>
      </c>
      <c r="K490" t="s">
        <v>24</v>
      </c>
      <c r="L490" t="s">
        <v>231</v>
      </c>
      <c r="M490" t="s">
        <v>97</v>
      </c>
      <c r="N490" t="s">
        <v>92</v>
      </c>
    </row>
    <row r="491" spans="1:14" x14ac:dyDescent="0.2">
      <c r="A491">
        <v>829773</v>
      </c>
      <c r="B491">
        <f>YEAR(#REF!)</f>
        <v>2015</v>
      </c>
      <c r="C491" t="s">
        <v>507</v>
      </c>
      <c r="D491" s="1">
        <v>42126</v>
      </c>
      <c r="E491" t="s">
        <v>39</v>
      </c>
      <c r="F491" t="s">
        <v>15</v>
      </c>
      <c r="H491" t="s">
        <v>15</v>
      </c>
      <c r="I491" t="s">
        <v>89</v>
      </c>
      <c r="J491" t="s">
        <v>78</v>
      </c>
      <c r="K491" t="s">
        <v>39</v>
      </c>
      <c r="L491" t="s">
        <v>80</v>
      </c>
      <c r="M491" t="s">
        <v>164</v>
      </c>
      <c r="N491" t="s">
        <v>145</v>
      </c>
    </row>
    <row r="492" spans="1:14" x14ac:dyDescent="0.2">
      <c r="A492">
        <v>829771</v>
      </c>
      <c r="B492">
        <f>YEAR(#REF!)</f>
        <v>2015</v>
      </c>
      <c r="C492" t="s">
        <v>507</v>
      </c>
      <c r="D492" s="1">
        <v>42126</v>
      </c>
      <c r="E492" t="s">
        <v>20</v>
      </c>
      <c r="F492" t="s">
        <v>29</v>
      </c>
      <c r="H492" t="s">
        <v>20</v>
      </c>
      <c r="I492" t="s">
        <v>89</v>
      </c>
      <c r="J492" t="s">
        <v>78</v>
      </c>
      <c r="K492" t="s">
        <v>20</v>
      </c>
      <c r="L492" t="s">
        <v>440</v>
      </c>
      <c r="M492" t="s">
        <v>196</v>
      </c>
      <c r="N492" t="s">
        <v>197</v>
      </c>
    </row>
    <row r="493" spans="1:14" x14ac:dyDescent="0.2">
      <c r="A493">
        <v>829775</v>
      </c>
      <c r="B493">
        <f>YEAR(#REF!)</f>
        <v>2015</v>
      </c>
      <c r="C493" t="s">
        <v>507</v>
      </c>
      <c r="D493" s="1">
        <v>42127</v>
      </c>
      <c r="E493" t="s">
        <v>33</v>
      </c>
      <c r="F493" t="s">
        <v>24</v>
      </c>
      <c r="H493" t="s">
        <v>24</v>
      </c>
      <c r="I493" t="s">
        <v>77</v>
      </c>
      <c r="J493" t="s">
        <v>78</v>
      </c>
      <c r="K493" t="s">
        <v>24</v>
      </c>
      <c r="L493" t="s">
        <v>419</v>
      </c>
      <c r="M493" t="s">
        <v>112</v>
      </c>
      <c r="N493" t="s">
        <v>95</v>
      </c>
    </row>
    <row r="494" spans="1:14" x14ac:dyDescent="0.2">
      <c r="A494">
        <v>829777</v>
      </c>
      <c r="B494">
        <f>YEAR(#REF!)</f>
        <v>2015</v>
      </c>
      <c r="C494" t="s">
        <v>507</v>
      </c>
      <c r="D494" s="1">
        <v>42127</v>
      </c>
      <c r="E494" t="s">
        <v>14</v>
      </c>
      <c r="F494" t="s">
        <v>76</v>
      </c>
      <c r="H494" t="s">
        <v>76</v>
      </c>
      <c r="I494" t="s">
        <v>89</v>
      </c>
      <c r="J494" t="s">
        <v>78</v>
      </c>
      <c r="K494" t="s">
        <v>14</v>
      </c>
      <c r="L494" t="s">
        <v>263</v>
      </c>
      <c r="M494" t="s">
        <v>232</v>
      </c>
      <c r="N494" t="s">
        <v>92</v>
      </c>
    </row>
    <row r="495" spans="1:14" x14ac:dyDescent="0.2">
      <c r="A495">
        <v>829781</v>
      </c>
      <c r="B495">
        <f>YEAR(#REF!)</f>
        <v>2015</v>
      </c>
      <c r="C495" t="s">
        <v>507</v>
      </c>
      <c r="D495" s="1">
        <v>42128</v>
      </c>
      <c r="E495" t="s">
        <v>29</v>
      </c>
      <c r="F495" t="s">
        <v>39</v>
      </c>
      <c r="H495" t="s">
        <v>39</v>
      </c>
      <c r="I495" t="s">
        <v>89</v>
      </c>
      <c r="J495" t="s">
        <v>78</v>
      </c>
      <c r="K495" t="s">
        <v>29</v>
      </c>
      <c r="L495" t="s">
        <v>240</v>
      </c>
      <c r="M495" t="s">
        <v>134</v>
      </c>
      <c r="N495" t="s">
        <v>135</v>
      </c>
    </row>
    <row r="496" spans="1:14" x14ac:dyDescent="0.2">
      <c r="A496">
        <v>829779</v>
      </c>
      <c r="B496">
        <f>YEAR(#REF!)</f>
        <v>2015</v>
      </c>
      <c r="C496" t="s">
        <v>507</v>
      </c>
      <c r="D496" s="1">
        <v>42128</v>
      </c>
      <c r="E496" t="s">
        <v>15</v>
      </c>
      <c r="F496" t="s">
        <v>20</v>
      </c>
      <c r="H496" t="s">
        <v>15</v>
      </c>
      <c r="I496" t="s">
        <v>77</v>
      </c>
      <c r="J496" t="s">
        <v>78</v>
      </c>
      <c r="K496" t="s">
        <v>15</v>
      </c>
      <c r="L496" t="s">
        <v>259</v>
      </c>
      <c r="M496" t="s">
        <v>120</v>
      </c>
      <c r="N496" t="s">
        <v>107</v>
      </c>
    </row>
    <row r="497" spans="1:14" x14ac:dyDescent="0.2">
      <c r="A497">
        <v>829783</v>
      </c>
      <c r="B497">
        <f>YEAR(#REF!)</f>
        <v>2015</v>
      </c>
      <c r="C497" t="s">
        <v>507</v>
      </c>
      <c r="D497" s="1">
        <v>42129</v>
      </c>
      <c r="E497" t="s">
        <v>24</v>
      </c>
      <c r="F497" t="s">
        <v>76</v>
      </c>
      <c r="H497" t="s">
        <v>76</v>
      </c>
      <c r="I497" t="s">
        <v>77</v>
      </c>
      <c r="J497" t="s">
        <v>78</v>
      </c>
      <c r="K497" t="s">
        <v>24</v>
      </c>
      <c r="L497" t="s">
        <v>101</v>
      </c>
      <c r="M497" t="s">
        <v>97</v>
      </c>
      <c r="N497" t="s">
        <v>92</v>
      </c>
    </row>
    <row r="498" spans="1:14" x14ac:dyDescent="0.2">
      <c r="A498">
        <v>829785</v>
      </c>
      <c r="B498">
        <f>YEAR(#REF!)</f>
        <v>2015</v>
      </c>
      <c r="C498" t="s">
        <v>507</v>
      </c>
      <c r="D498" s="1">
        <v>42130</v>
      </c>
      <c r="E498" t="s">
        <v>20</v>
      </c>
      <c r="F498" t="s">
        <v>33</v>
      </c>
      <c r="H498" t="s">
        <v>33</v>
      </c>
      <c r="I498" t="s">
        <v>89</v>
      </c>
      <c r="J498" t="s">
        <v>78</v>
      </c>
      <c r="K498" t="s">
        <v>20</v>
      </c>
      <c r="L498" t="s">
        <v>214</v>
      </c>
      <c r="M498" t="s">
        <v>196</v>
      </c>
      <c r="N498" t="s">
        <v>197</v>
      </c>
    </row>
    <row r="499" spans="1:14" x14ac:dyDescent="0.2">
      <c r="A499">
        <v>829761</v>
      </c>
      <c r="B499">
        <f>YEAR(#REF!)</f>
        <v>2015</v>
      </c>
      <c r="C499" t="s">
        <v>507</v>
      </c>
      <c r="D499" s="1">
        <v>42131</v>
      </c>
      <c r="E499" t="s">
        <v>29</v>
      </c>
      <c r="F499" t="s">
        <v>76</v>
      </c>
      <c r="H499" t="s">
        <v>29</v>
      </c>
      <c r="I499" t="s">
        <v>77</v>
      </c>
      <c r="J499" t="s">
        <v>78</v>
      </c>
      <c r="K499" t="s">
        <v>29</v>
      </c>
      <c r="L499" t="s">
        <v>177</v>
      </c>
      <c r="M499" t="s">
        <v>134</v>
      </c>
      <c r="N499" t="s">
        <v>135</v>
      </c>
    </row>
    <row r="500" spans="1:14" x14ac:dyDescent="0.2">
      <c r="A500">
        <v>829787</v>
      </c>
      <c r="B500">
        <f>YEAR(#REF!)</f>
        <v>2015</v>
      </c>
      <c r="C500" t="s">
        <v>507</v>
      </c>
      <c r="D500" s="1">
        <v>42131</v>
      </c>
      <c r="E500" t="s">
        <v>14</v>
      </c>
      <c r="F500" t="s">
        <v>39</v>
      </c>
      <c r="H500" t="s">
        <v>14</v>
      </c>
      <c r="I500" t="s">
        <v>89</v>
      </c>
      <c r="J500" t="s">
        <v>78</v>
      </c>
      <c r="K500" t="s">
        <v>39</v>
      </c>
      <c r="L500" t="s">
        <v>427</v>
      </c>
      <c r="M500" t="s">
        <v>232</v>
      </c>
      <c r="N500" t="s">
        <v>92</v>
      </c>
    </row>
    <row r="501" spans="1:14" x14ac:dyDescent="0.2">
      <c r="A501">
        <v>829789</v>
      </c>
      <c r="B501">
        <f>YEAR(#REF!)</f>
        <v>2015</v>
      </c>
      <c r="C501" t="s">
        <v>507</v>
      </c>
      <c r="D501" s="1">
        <v>42132</v>
      </c>
      <c r="E501" t="s">
        <v>15</v>
      </c>
      <c r="F501" t="s">
        <v>24</v>
      </c>
      <c r="H501" t="s">
        <v>15</v>
      </c>
      <c r="I501" t="s">
        <v>77</v>
      </c>
      <c r="J501" t="s">
        <v>78</v>
      </c>
      <c r="K501" t="s">
        <v>24</v>
      </c>
      <c r="L501" t="s">
        <v>364</v>
      </c>
      <c r="M501" t="s">
        <v>120</v>
      </c>
      <c r="N501" t="s">
        <v>107</v>
      </c>
    </row>
    <row r="502" spans="1:14" x14ac:dyDescent="0.2">
      <c r="A502">
        <v>829793</v>
      </c>
      <c r="B502">
        <f>YEAR(#REF!)</f>
        <v>2015</v>
      </c>
      <c r="C502" t="s">
        <v>507</v>
      </c>
      <c r="D502" s="1">
        <v>42133</v>
      </c>
      <c r="E502" t="s">
        <v>76</v>
      </c>
      <c r="F502" t="s">
        <v>39</v>
      </c>
      <c r="H502" t="s">
        <v>39</v>
      </c>
      <c r="I502" t="s">
        <v>77</v>
      </c>
      <c r="J502" t="s">
        <v>78</v>
      </c>
      <c r="K502" t="s">
        <v>39</v>
      </c>
      <c r="L502" t="s">
        <v>125</v>
      </c>
      <c r="M502" t="s">
        <v>81</v>
      </c>
      <c r="N502" t="s">
        <v>82</v>
      </c>
    </row>
    <row r="503" spans="1:14" x14ac:dyDescent="0.2">
      <c r="A503">
        <v>829791</v>
      </c>
      <c r="B503">
        <f>YEAR(#REF!)</f>
        <v>2015</v>
      </c>
      <c r="C503" t="s">
        <v>507</v>
      </c>
      <c r="D503" s="1">
        <v>42133</v>
      </c>
      <c r="E503" t="s">
        <v>29</v>
      </c>
      <c r="F503" t="s">
        <v>33</v>
      </c>
      <c r="H503" t="s">
        <v>33</v>
      </c>
      <c r="I503" t="s">
        <v>77</v>
      </c>
      <c r="J503" t="s">
        <v>78</v>
      </c>
      <c r="K503" t="s">
        <v>29</v>
      </c>
      <c r="L503" t="s">
        <v>140</v>
      </c>
      <c r="M503" t="s">
        <v>134</v>
      </c>
      <c r="N503" t="s">
        <v>135</v>
      </c>
    </row>
    <row r="504" spans="1:14" x14ac:dyDescent="0.2">
      <c r="A504">
        <v>829797</v>
      </c>
      <c r="B504">
        <f>YEAR(#REF!)</f>
        <v>2015</v>
      </c>
      <c r="C504" t="s">
        <v>507</v>
      </c>
      <c r="D504" s="1">
        <v>42134</v>
      </c>
      <c r="E504" t="s">
        <v>15</v>
      </c>
      <c r="F504" t="s">
        <v>14</v>
      </c>
      <c r="H504" t="s">
        <v>15</v>
      </c>
      <c r="I504" t="s">
        <v>77</v>
      </c>
      <c r="J504" t="s">
        <v>78</v>
      </c>
      <c r="K504" t="s">
        <v>15</v>
      </c>
      <c r="L504" t="s">
        <v>179</v>
      </c>
      <c r="M504" t="s">
        <v>120</v>
      </c>
      <c r="N504" t="s">
        <v>107</v>
      </c>
    </row>
    <row r="505" spans="1:14" x14ac:dyDescent="0.2">
      <c r="A505">
        <v>829795</v>
      </c>
      <c r="B505">
        <f>YEAR(#REF!)</f>
        <v>2015</v>
      </c>
      <c r="C505" t="s">
        <v>507</v>
      </c>
      <c r="D505" s="1">
        <v>42134</v>
      </c>
      <c r="E505" t="s">
        <v>24</v>
      </c>
      <c r="F505" t="s">
        <v>20</v>
      </c>
      <c r="H505" t="s">
        <v>20</v>
      </c>
      <c r="I505" t="s">
        <v>77</v>
      </c>
      <c r="J505" t="s">
        <v>78</v>
      </c>
      <c r="K505" t="s">
        <v>20</v>
      </c>
      <c r="L505" t="s">
        <v>38</v>
      </c>
      <c r="M505" t="s">
        <v>97</v>
      </c>
      <c r="N505" t="s">
        <v>92</v>
      </c>
    </row>
    <row r="506" spans="1:14" x14ac:dyDescent="0.2">
      <c r="A506">
        <v>829799</v>
      </c>
      <c r="B506">
        <f>YEAR(#REF!)</f>
        <v>2015</v>
      </c>
      <c r="C506" t="s">
        <v>507</v>
      </c>
      <c r="D506" s="1">
        <v>42135</v>
      </c>
      <c r="E506" t="s">
        <v>39</v>
      </c>
      <c r="F506" t="s">
        <v>33</v>
      </c>
      <c r="H506" t="s">
        <v>39</v>
      </c>
      <c r="I506" t="s">
        <v>77</v>
      </c>
      <c r="J506" t="s">
        <v>78</v>
      </c>
      <c r="K506" t="s">
        <v>39</v>
      </c>
      <c r="L506" t="s">
        <v>80</v>
      </c>
      <c r="M506" t="s">
        <v>164</v>
      </c>
      <c r="N506" t="s">
        <v>145</v>
      </c>
    </row>
    <row r="507" spans="1:14" x14ac:dyDescent="0.2">
      <c r="A507">
        <v>829801</v>
      </c>
      <c r="B507">
        <f>YEAR(#REF!)</f>
        <v>2015</v>
      </c>
      <c r="C507" t="s">
        <v>507</v>
      </c>
      <c r="D507" s="1">
        <v>42136</v>
      </c>
      <c r="E507" t="s">
        <v>76</v>
      </c>
      <c r="F507" t="s">
        <v>15</v>
      </c>
      <c r="H507" t="s">
        <v>15</v>
      </c>
      <c r="I507" t="s">
        <v>77</v>
      </c>
      <c r="J507" t="s">
        <v>78</v>
      </c>
      <c r="K507" t="s">
        <v>76</v>
      </c>
      <c r="L507" t="s">
        <v>489</v>
      </c>
      <c r="M507" t="s">
        <v>81</v>
      </c>
      <c r="N507" t="s">
        <v>82</v>
      </c>
    </row>
    <row r="508" spans="1:14" x14ac:dyDescent="0.2">
      <c r="A508">
        <v>829803</v>
      </c>
      <c r="B508">
        <f>YEAR(#REF!)</f>
        <v>2015</v>
      </c>
      <c r="C508" t="s">
        <v>507</v>
      </c>
      <c r="D508" s="1">
        <v>42137</v>
      </c>
      <c r="E508" t="s">
        <v>33</v>
      </c>
      <c r="F508" t="s">
        <v>20</v>
      </c>
      <c r="H508" t="s">
        <v>20</v>
      </c>
      <c r="I508" t="s">
        <v>89</v>
      </c>
      <c r="J508" t="s">
        <v>78</v>
      </c>
      <c r="K508" t="s">
        <v>33</v>
      </c>
      <c r="L508" t="s">
        <v>137</v>
      </c>
      <c r="M508" t="s">
        <v>112</v>
      </c>
      <c r="N508" t="s">
        <v>95</v>
      </c>
    </row>
    <row r="509" spans="1:14" x14ac:dyDescent="0.2">
      <c r="A509">
        <v>829805</v>
      </c>
      <c r="B509">
        <f>YEAR(#REF!)</f>
        <v>2015</v>
      </c>
      <c r="C509" t="s">
        <v>507</v>
      </c>
      <c r="D509" s="1">
        <v>42138</v>
      </c>
      <c r="E509" t="s">
        <v>24</v>
      </c>
      <c r="F509" t="s">
        <v>29</v>
      </c>
      <c r="H509" t="s">
        <v>29</v>
      </c>
      <c r="I509" t="s">
        <v>89</v>
      </c>
      <c r="J509" t="s">
        <v>78</v>
      </c>
      <c r="K509" t="s">
        <v>24</v>
      </c>
      <c r="L509" t="s">
        <v>364</v>
      </c>
      <c r="M509" t="s">
        <v>97</v>
      </c>
      <c r="N509" t="s">
        <v>92</v>
      </c>
    </row>
    <row r="510" spans="1:14" x14ac:dyDescent="0.2">
      <c r="A510">
        <v>829807</v>
      </c>
      <c r="B510">
        <f>YEAR(#REF!)</f>
        <v>2015</v>
      </c>
      <c r="C510" t="s">
        <v>507</v>
      </c>
      <c r="D510" s="1">
        <v>42139</v>
      </c>
      <c r="E510" t="s">
        <v>39</v>
      </c>
      <c r="F510" t="s">
        <v>20</v>
      </c>
      <c r="H510" t="s">
        <v>39</v>
      </c>
      <c r="I510" t="s">
        <v>77</v>
      </c>
      <c r="J510" t="s">
        <v>78</v>
      </c>
      <c r="K510" t="s">
        <v>20</v>
      </c>
      <c r="L510" t="s">
        <v>257</v>
      </c>
      <c r="M510" t="s">
        <v>164</v>
      </c>
      <c r="N510" t="s">
        <v>145</v>
      </c>
    </row>
    <row r="511" spans="1:14" x14ac:dyDescent="0.2">
      <c r="A511">
        <v>829809</v>
      </c>
      <c r="B511">
        <f>YEAR(#REF!)</f>
        <v>2015</v>
      </c>
      <c r="C511" t="s">
        <v>507</v>
      </c>
      <c r="D511" s="1">
        <v>42140</v>
      </c>
      <c r="E511" t="s">
        <v>33</v>
      </c>
      <c r="F511" t="s">
        <v>15</v>
      </c>
      <c r="H511" t="s">
        <v>33</v>
      </c>
      <c r="I511" t="s">
        <v>77</v>
      </c>
      <c r="J511" t="s">
        <v>78</v>
      </c>
      <c r="K511" t="s">
        <v>15</v>
      </c>
      <c r="L511" t="s">
        <v>217</v>
      </c>
      <c r="M511" t="s">
        <v>112</v>
      </c>
      <c r="N511" t="s">
        <v>95</v>
      </c>
    </row>
    <row r="512" spans="1:14" x14ac:dyDescent="0.2">
      <c r="A512">
        <v>829811</v>
      </c>
      <c r="B512">
        <f>YEAR(#REF!)</f>
        <v>2015</v>
      </c>
      <c r="C512" t="s">
        <v>507</v>
      </c>
      <c r="D512" s="1">
        <v>42140</v>
      </c>
      <c r="E512" t="s">
        <v>14</v>
      </c>
      <c r="F512" t="s">
        <v>29</v>
      </c>
      <c r="H512" t="s">
        <v>14</v>
      </c>
      <c r="I512" t="s">
        <v>77</v>
      </c>
      <c r="J512" t="s">
        <v>78</v>
      </c>
      <c r="K512" t="s">
        <v>14</v>
      </c>
      <c r="L512" t="s">
        <v>166</v>
      </c>
      <c r="M512" t="s">
        <v>232</v>
      </c>
      <c r="N512" t="s">
        <v>92</v>
      </c>
    </row>
    <row r="513" spans="1:14" x14ac:dyDescent="0.2">
      <c r="A513">
        <v>829815</v>
      </c>
      <c r="B513">
        <f>YEAR(#REF!)</f>
        <v>2015</v>
      </c>
      <c r="C513" t="s">
        <v>507</v>
      </c>
      <c r="D513" s="1">
        <v>42141</v>
      </c>
      <c r="E513" t="s">
        <v>39</v>
      </c>
      <c r="F513" t="s">
        <v>24</v>
      </c>
      <c r="H513" t="s">
        <v>39</v>
      </c>
      <c r="I513" t="s">
        <v>77</v>
      </c>
      <c r="J513" t="s">
        <v>78</v>
      </c>
      <c r="K513" t="s">
        <v>24</v>
      </c>
      <c r="L513" t="s">
        <v>327</v>
      </c>
      <c r="M513" t="s">
        <v>164</v>
      </c>
      <c r="N513" t="s">
        <v>145</v>
      </c>
    </row>
    <row r="514" spans="1:14" x14ac:dyDescent="0.2">
      <c r="A514">
        <v>829813</v>
      </c>
      <c r="B514">
        <f>YEAR(#REF!)</f>
        <v>2015</v>
      </c>
      <c r="C514" t="s">
        <v>507</v>
      </c>
      <c r="D514" s="1">
        <v>42141</v>
      </c>
      <c r="E514" t="s">
        <v>20</v>
      </c>
      <c r="F514" t="s">
        <v>76</v>
      </c>
      <c r="H514" t="s">
        <v>20</v>
      </c>
      <c r="I514" t="s">
        <v>89</v>
      </c>
      <c r="J514" t="s">
        <v>180</v>
      </c>
      <c r="K514" t="s">
        <v>79</v>
      </c>
      <c r="L514" t="s">
        <v>181</v>
      </c>
      <c r="M514" t="s">
        <v>196</v>
      </c>
      <c r="N514" t="s">
        <v>197</v>
      </c>
    </row>
    <row r="515" spans="1:14" x14ac:dyDescent="0.2">
      <c r="A515">
        <v>829817</v>
      </c>
      <c r="B515">
        <f>YEAR(#REF!)</f>
        <v>2015</v>
      </c>
      <c r="C515" t="s">
        <v>507</v>
      </c>
      <c r="D515" s="1">
        <v>42143</v>
      </c>
      <c r="E515" t="s">
        <v>15</v>
      </c>
      <c r="F515" t="s">
        <v>24</v>
      </c>
      <c r="H515" t="s">
        <v>24</v>
      </c>
      <c r="I515" t="s">
        <v>77</v>
      </c>
      <c r="J515" t="s">
        <v>78</v>
      </c>
      <c r="K515" t="s">
        <v>24</v>
      </c>
      <c r="L515" t="s">
        <v>123</v>
      </c>
      <c r="M515" t="s">
        <v>97</v>
      </c>
      <c r="N515" t="s">
        <v>92</v>
      </c>
    </row>
    <row r="516" spans="1:14" x14ac:dyDescent="0.2">
      <c r="A516">
        <v>829819</v>
      </c>
      <c r="B516">
        <f>YEAR(#REF!)</f>
        <v>2015</v>
      </c>
      <c r="C516" t="s">
        <v>507</v>
      </c>
      <c r="D516" s="1">
        <v>42144</v>
      </c>
      <c r="E516" t="s">
        <v>20</v>
      </c>
      <c r="F516" t="s">
        <v>14</v>
      </c>
      <c r="H516" t="s">
        <v>20</v>
      </c>
      <c r="I516" t="s">
        <v>77</v>
      </c>
      <c r="J516" t="s">
        <v>78</v>
      </c>
      <c r="K516" t="s">
        <v>20</v>
      </c>
      <c r="L516" t="s">
        <v>38</v>
      </c>
      <c r="M516" t="s">
        <v>255</v>
      </c>
      <c r="N516" t="s">
        <v>163</v>
      </c>
    </row>
    <row r="517" spans="1:14" x14ac:dyDescent="0.2">
      <c r="A517">
        <v>829821</v>
      </c>
      <c r="B517">
        <f>YEAR(#REF!)</f>
        <v>2015</v>
      </c>
      <c r="C517" t="s">
        <v>507</v>
      </c>
      <c r="D517" s="1">
        <v>42146</v>
      </c>
      <c r="E517" t="s">
        <v>15</v>
      </c>
      <c r="F517" t="s">
        <v>20</v>
      </c>
      <c r="H517" t="s">
        <v>15</v>
      </c>
      <c r="I517" t="s">
        <v>89</v>
      </c>
      <c r="J517" t="s">
        <v>78</v>
      </c>
      <c r="K517" t="s">
        <v>15</v>
      </c>
      <c r="L517" t="s">
        <v>114</v>
      </c>
      <c r="M517" t="s">
        <v>115</v>
      </c>
      <c r="N517" t="s">
        <v>116</v>
      </c>
    </row>
    <row r="518" spans="1:14" x14ac:dyDescent="0.2">
      <c r="A518">
        <v>829823</v>
      </c>
      <c r="B518">
        <f>YEAR(#REF!)</f>
        <v>2015</v>
      </c>
      <c r="C518" t="s">
        <v>507</v>
      </c>
      <c r="D518" s="1">
        <v>42148</v>
      </c>
      <c r="E518" t="s">
        <v>24</v>
      </c>
      <c r="F518" t="s">
        <v>15</v>
      </c>
      <c r="H518" t="s">
        <v>15</v>
      </c>
      <c r="I518" t="s">
        <v>89</v>
      </c>
      <c r="J518" t="s">
        <v>78</v>
      </c>
      <c r="K518" t="s">
        <v>24</v>
      </c>
      <c r="L518" t="s">
        <v>96</v>
      </c>
      <c r="M518" t="s">
        <v>134</v>
      </c>
      <c r="N518" t="s">
        <v>135</v>
      </c>
    </row>
    <row r="519" spans="1:14" x14ac:dyDescent="0.2">
      <c r="A519">
        <v>980901</v>
      </c>
      <c r="B519">
        <f>YEAR(#REF!)</f>
        <v>2016</v>
      </c>
      <c r="C519" t="s">
        <v>508</v>
      </c>
      <c r="D519" s="1">
        <v>42469</v>
      </c>
      <c r="E519" t="s">
        <v>24</v>
      </c>
      <c r="F519" t="s">
        <v>193</v>
      </c>
      <c r="H519" t="s">
        <v>24</v>
      </c>
      <c r="I519" t="s">
        <v>77</v>
      </c>
      <c r="J519" t="s">
        <v>78</v>
      </c>
      <c r="K519" t="s">
        <v>193</v>
      </c>
      <c r="L519" t="s">
        <v>263</v>
      </c>
      <c r="M519" t="s">
        <v>97</v>
      </c>
      <c r="N519" t="s">
        <v>92</v>
      </c>
    </row>
    <row r="520" spans="1:14" x14ac:dyDescent="0.2">
      <c r="A520">
        <v>980903</v>
      </c>
      <c r="B520">
        <f>YEAR(#REF!)</f>
        <v>2016</v>
      </c>
      <c r="C520" t="s">
        <v>508</v>
      </c>
      <c r="D520" s="1">
        <v>42470</v>
      </c>
      <c r="E520" t="s">
        <v>29</v>
      </c>
      <c r="F520" t="s">
        <v>76</v>
      </c>
      <c r="H520" t="s">
        <v>29</v>
      </c>
      <c r="I520" t="s">
        <v>89</v>
      </c>
      <c r="J520" t="s">
        <v>78</v>
      </c>
      <c r="K520" t="s">
        <v>29</v>
      </c>
      <c r="L520" t="s">
        <v>140</v>
      </c>
      <c r="M520" t="s">
        <v>134</v>
      </c>
      <c r="N520" t="s">
        <v>135</v>
      </c>
    </row>
    <row r="521" spans="1:14" x14ac:dyDescent="0.2">
      <c r="A521">
        <v>980905</v>
      </c>
      <c r="B521">
        <f>YEAR(#REF!)</f>
        <v>2016</v>
      </c>
      <c r="C521" t="s">
        <v>508</v>
      </c>
      <c r="D521" s="1">
        <v>42471</v>
      </c>
      <c r="E521" t="s">
        <v>33</v>
      </c>
      <c r="F521" t="s">
        <v>121</v>
      </c>
      <c r="H521" t="s">
        <v>121</v>
      </c>
      <c r="I521" t="s">
        <v>89</v>
      </c>
      <c r="J521" t="s">
        <v>78</v>
      </c>
      <c r="K521" t="s">
        <v>121</v>
      </c>
      <c r="L521" t="s">
        <v>165</v>
      </c>
      <c r="M521" t="s">
        <v>159</v>
      </c>
      <c r="N521" t="s">
        <v>95</v>
      </c>
    </row>
    <row r="522" spans="1:14" x14ac:dyDescent="0.2">
      <c r="A522">
        <v>980907</v>
      </c>
      <c r="B522">
        <f>YEAR(#REF!)</f>
        <v>2016</v>
      </c>
      <c r="C522" t="s">
        <v>508</v>
      </c>
      <c r="D522" s="1">
        <v>42472</v>
      </c>
      <c r="E522" t="s">
        <v>20</v>
      </c>
      <c r="F522" t="s">
        <v>39</v>
      </c>
      <c r="H522" t="s">
        <v>39</v>
      </c>
      <c r="I522" t="s">
        <v>89</v>
      </c>
      <c r="J522" t="s">
        <v>78</v>
      </c>
      <c r="K522" t="s">
        <v>20</v>
      </c>
      <c r="L522" t="s">
        <v>38</v>
      </c>
      <c r="M522" t="s">
        <v>196</v>
      </c>
      <c r="N522" t="s">
        <v>197</v>
      </c>
    </row>
    <row r="523" spans="1:14" x14ac:dyDescent="0.2">
      <c r="A523">
        <v>980909</v>
      </c>
      <c r="B523">
        <f>YEAR(#REF!)</f>
        <v>2016</v>
      </c>
      <c r="C523" t="s">
        <v>508</v>
      </c>
      <c r="D523" s="1">
        <v>42473</v>
      </c>
      <c r="E523" t="s">
        <v>29</v>
      </c>
      <c r="F523" t="s">
        <v>24</v>
      </c>
      <c r="H523" t="s">
        <v>24</v>
      </c>
      <c r="I523" t="s">
        <v>89</v>
      </c>
      <c r="J523" t="s">
        <v>78</v>
      </c>
      <c r="K523" t="s">
        <v>24</v>
      </c>
      <c r="L523" t="s">
        <v>96</v>
      </c>
      <c r="M523" t="s">
        <v>134</v>
      </c>
      <c r="N523" t="s">
        <v>135</v>
      </c>
    </row>
    <row r="524" spans="1:14" x14ac:dyDescent="0.2">
      <c r="A524">
        <v>980911</v>
      </c>
      <c r="B524">
        <f>YEAR(#REF!)</f>
        <v>2016</v>
      </c>
      <c r="C524" t="s">
        <v>508</v>
      </c>
      <c r="D524" s="1">
        <v>42474</v>
      </c>
      <c r="E524" t="s">
        <v>121</v>
      </c>
      <c r="F524" t="s">
        <v>193</v>
      </c>
      <c r="H524" t="s">
        <v>193</v>
      </c>
      <c r="I524" t="s">
        <v>77</v>
      </c>
      <c r="J524" t="s">
        <v>78</v>
      </c>
      <c r="K524" t="s">
        <v>121</v>
      </c>
      <c r="L524" t="s">
        <v>165</v>
      </c>
      <c r="M524" t="s">
        <v>138</v>
      </c>
      <c r="N524" t="s">
        <v>139</v>
      </c>
    </row>
    <row r="525" spans="1:14" x14ac:dyDescent="0.2">
      <c r="A525">
        <v>980913</v>
      </c>
      <c r="B525">
        <f>YEAR(#REF!)</f>
        <v>2016</v>
      </c>
      <c r="C525" t="s">
        <v>508</v>
      </c>
      <c r="D525" s="1">
        <v>42475</v>
      </c>
      <c r="E525" t="s">
        <v>76</v>
      </c>
      <c r="F525" t="s">
        <v>33</v>
      </c>
      <c r="H525" t="s">
        <v>76</v>
      </c>
      <c r="I525" t="s">
        <v>89</v>
      </c>
      <c r="J525" t="s">
        <v>78</v>
      </c>
      <c r="K525" t="s">
        <v>76</v>
      </c>
      <c r="L525" t="s">
        <v>151</v>
      </c>
      <c r="M525" t="s">
        <v>87</v>
      </c>
      <c r="N525" t="s">
        <v>88</v>
      </c>
    </row>
    <row r="526" spans="1:14" x14ac:dyDescent="0.2">
      <c r="A526">
        <v>980915</v>
      </c>
      <c r="B526">
        <f>YEAR(#REF!)</f>
        <v>2016</v>
      </c>
      <c r="C526" t="s">
        <v>508</v>
      </c>
      <c r="D526" s="1">
        <v>42476</v>
      </c>
      <c r="E526" t="s">
        <v>39</v>
      </c>
      <c r="F526" t="s">
        <v>29</v>
      </c>
      <c r="H526" t="s">
        <v>39</v>
      </c>
      <c r="I526" t="s">
        <v>77</v>
      </c>
      <c r="J526" t="s">
        <v>78</v>
      </c>
      <c r="K526" t="s">
        <v>29</v>
      </c>
      <c r="L526" t="s">
        <v>141</v>
      </c>
      <c r="M526" t="s">
        <v>164</v>
      </c>
      <c r="N526" t="s">
        <v>145</v>
      </c>
    </row>
    <row r="527" spans="1:14" x14ac:dyDescent="0.2">
      <c r="A527">
        <v>980917</v>
      </c>
      <c r="B527">
        <f>YEAR(#REF!)</f>
        <v>2016</v>
      </c>
      <c r="C527" t="s">
        <v>508</v>
      </c>
      <c r="D527" s="1">
        <v>42476</v>
      </c>
      <c r="E527" t="s">
        <v>24</v>
      </c>
      <c r="F527" t="s">
        <v>121</v>
      </c>
      <c r="H527" t="s">
        <v>121</v>
      </c>
      <c r="I527" t="s">
        <v>89</v>
      </c>
      <c r="J527" t="s">
        <v>78</v>
      </c>
      <c r="K527" t="s">
        <v>121</v>
      </c>
      <c r="L527" t="s">
        <v>165</v>
      </c>
      <c r="M527" t="s">
        <v>97</v>
      </c>
      <c r="N527" t="s">
        <v>92</v>
      </c>
    </row>
    <row r="528" spans="1:14" x14ac:dyDescent="0.2">
      <c r="A528">
        <v>980919</v>
      </c>
      <c r="B528">
        <f>YEAR(#REF!)</f>
        <v>2016</v>
      </c>
      <c r="C528" t="s">
        <v>508</v>
      </c>
      <c r="D528" s="1">
        <v>42477</v>
      </c>
      <c r="E528" t="s">
        <v>33</v>
      </c>
      <c r="F528" t="s">
        <v>193</v>
      </c>
      <c r="H528" t="s">
        <v>193</v>
      </c>
      <c r="I528" t="s">
        <v>77</v>
      </c>
      <c r="J528" t="s">
        <v>78</v>
      </c>
      <c r="K528" t="s">
        <v>33</v>
      </c>
      <c r="L528" t="s">
        <v>219</v>
      </c>
      <c r="M528" t="s">
        <v>159</v>
      </c>
      <c r="N528" t="s">
        <v>95</v>
      </c>
    </row>
    <row r="529" spans="1:14" x14ac:dyDescent="0.2">
      <c r="A529">
        <v>980921</v>
      </c>
      <c r="B529">
        <f>YEAR(#REF!)</f>
        <v>2016</v>
      </c>
      <c r="C529" t="s">
        <v>508</v>
      </c>
      <c r="D529" s="1">
        <v>42477</v>
      </c>
      <c r="E529" t="s">
        <v>20</v>
      </c>
      <c r="F529" t="s">
        <v>76</v>
      </c>
      <c r="H529" t="s">
        <v>76</v>
      </c>
      <c r="I529" t="s">
        <v>89</v>
      </c>
      <c r="J529" t="s">
        <v>78</v>
      </c>
      <c r="K529" t="s">
        <v>76</v>
      </c>
      <c r="L529" t="s">
        <v>315</v>
      </c>
      <c r="M529" t="s">
        <v>196</v>
      </c>
      <c r="N529" t="s">
        <v>197</v>
      </c>
    </row>
    <row r="530" spans="1:14" x14ac:dyDescent="0.2">
      <c r="A530">
        <v>980923</v>
      </c>
      <c r="B530">
        <f>YEAR(#REF!)</f>
        <v>2016</v>
      </c>
      <c r="C530" t="s">
        <v>508</v>
      </c>
      <c r="D530" s="1">
        <v>42478</v>
      </c>
      <c r="E530" t="s">
        <v>39</v>
      </c>
      <c r="F530" t="s">
        <v>24</v>
      </c>
      <c r="H530" t="s">
        <v>39</v>
      </c>
      <c r="I530" t="s">
        <v>89</v>
      </c>
      <c r="J530" t="s">
        <v>78</v>
      </c>
      <c r="K530" t="s">
        <v>39</v>
      </c>
      <c r="L530" t="s">
        <v>80</v>
      </c>
      <c r="M530" t="s">
        <v>164</v>
      </c>
      <c r="N530" t="s">
        <v>145</v>
      </c>
    </row>
    <row r="531" spans="1:14" x14ac:dyDescent="0.2">
      <c r="A531">
        <v>980925</v>
      </c>
      <c r="B531">
        <f>YEAR(#REF!)</f>
        <v>2016</v>
      </c>
      <c r="C531" t="s">
        <v>508</v>
      </c>
      <c r="D531" s="1">
        <v>42479</v>
      </c>
      <c r="E531" t="s">
        <v>33</v>
      </c>
      <c r="F531" t="s">
        <v>29</v>
      </c>
      <c r="H531" t="s">
        <v>29</v>
      </c>
      <c r="I531" t="s">
        <v>89</v>
      </c>
      <c r="J531" t="s">
        <v>78</v>
      </c>
      <c r="K531" t="s">
        <v>29</v>
      </c>
      <c r="L531" t="s">
        <v>192</v>
      </c>
      <c r="M531" t="s">
        <v>159</v>
      </c>
      <c r="N531" t="s">
        <v>95</v>
      </c>
    </row>
    <row r="532" spans="1:14" x14ac:dyDescent="0.2">
      <c r="A532">
        <v>980927</v>
      </c>
      <c r="B532">
        <f>YEAR(#REF!)</f>
        <v>2016</v>
      </c>
      <c r="C532" t="s">
        <v>508</v>
      </c>
      <c r="D532" s="1">
        <v>42480</v>
      </c>
      <c r="E532" t="s">
        <v>24</v>
      </c>
      <c r="F532" t="s">
        <v>20</v>
      </c>
      <c r="H532" t="s">
        <v>24</v>
      </c>
      <c r="I532" t="s">
        <v>89</v>
      </c>
      <c r="J532" t="s">
        <v>78</v>
      </c>
      <c r="K532" t="s">
        <v>24</v>
      </c>
      <c r="L532" t="s">
        <v>96</v>
      </c>
      <c r="M532" t="s">
        <v>97</v>
      </c>
      <c r="N532" t="s">
        <v>92</v>
      </c>
    </row>
    <row r="533" spans="1:14" x14ac:dyDescent="0.2">
      <c r="A533">
        <v>980929</v>
      </c>
      <c r="B533">
        <f>YEAR(#REF!)</f>
        <v>2016</v>
      </c>
      <c r="C533" t="s">
        <v>508</v>
      </c>
      <c r="D533" s="1">
        <v>42481</v>
      </c>
      <c r="E533" t="s">
        <v>121</v>
      </c>
      <c r="F533" t="s">
        <v>39</v>
      </c>
      <c r="H533" t="s">
        <v>39</v>
      </c>
      <c r="I533" t="s">
        <v>89</v>
      </c>
      <c r="J533" t="s">
        <v>78</v>
      </c>
      <c r="K533" t="s">
        <v>39</v>
      </c>
      <c r="L533" t="s">
        <v>323</v>
      </c>
      <c r="M533" t="s">
        <v>138</v>
      </c>
      <c r="N533" t="s">
        <v>139</v>
      </c>
    </row>
    <row r="534" spans="1:14" x14ac:dyDescent="0.2">
      <c r="A534">
        <v>980931</v>
      </c>
      <c r="B534">
        <f>YEAR(#REF!)</f>
        <v>2016</v>
      </c>
      <c r="C534" t="s">
        <v>508</v>
      </c>
      <c r="D534" s="1">
        <v>42482</v>
      </c>
      <c r="E534" t="s">
        <v>193</v>
      </c>
      <c r="F534" t="s">
        <v>20</v>
      </c>
      <c r="H534" t="s">
        <v>193</v>
      </c>
      <c r="I534" t="s">
        <v>89</v>
      </c>
      <c r="J534" t="s">
        <v>78</v>
      </c>
      <c r="K534" t="s">
        <v>20</v>
      </c>
      <c r="L534" t="s">
        <v>38</v>
      </c>
      <c r="M534" t="s">
        <v>255</v>
      </c>
      <c r="N534" t="s">
        <v>163</v>
      </c>
    </row>
    <row r="535" spans="1:14" x14ac:dyDescent="0.2">
      <c r="A535">
        <v>980935</v>
      </c>
      <c r="B535">
        <f>YEAR(#REF!)</f>
        <v>2016</v>
      </c>
      <c r="C535" t="s">
        <v>508</v>
      </c>
      <c r="D535" s="1">
        <v>42483</v>
      </c>
      <c r="E535" t="s">
        <v>39</v>
      </c>
      <c r="F535" t="s">
        <v>33</v>
      </c>
      <c r="H535" t="s">
        <v>39</v>
      </c>
      <c r="I535" t="s">
        <v>89</v>
      </c>
      <c r="J535" t="s">
        <v>78</v>
      </c>
      <c r="K535" t="s">
        <v>39</v>
      </c>
      <c r="L535" t="s">
        <v>396</v>
      </c>
      <c r="M535" t="s">
        <v>164</v>
      </c>
      <c r="N535" t="s">
        <v>145</v>
      </c>
    </row>
    <row r="536" spans="1:14" x14ac:dyDescent="0.2">
      <c r="A536">
        <v>980933</v>
      </c>
      <c r="B536">
        <f>YEAR(#REF!)</f>
        <v>2016</v>
      </c>
      <c r="C536" t="s">
        <v>508</v>
      </c>
      <c r="D536" s="1">
        <v>42483</v>
      </c>
      <c r="E536" t="s">
        <v>76</v>
      </c>
      <c r="F536" t="s">
        <v>24</v>
      </c>
      <c r="H536" t="s">
        <v>24</v>
      </c>
      <c r="I536" t="s">
        <v>89</v>
      </c>
      <c r="J536" t="s">
        <v>78</v>
      </c>
      <c r="K536" t="s">
        <v>76</v>
      </c>
      <c r="L536" t="s">
        <v>187</v>
      </c>
      <c r="M536" t="s">
        <v>87</v>
      </c>
      <c r="N536" t="s">
        <v>88</v>
      </c>
    </row>
    <row r="537" spans="1:14" x14ac:dyDescent="0.2">
      <c r="A537">
        <v>980937</v>
      </c>
      <c r="B537">
        <f>YEAR(#REF!)</f>
        <v>2016</v>
      </c>
      <c r="C537" t="s">
        <v>508</v>
      </c>
      <c r="D537" s="1">
        <v>42484</v>
      </c>
      <c r="E537" t="s">
        <v>121</v>
      </c>
      <c r="F537" t="s">
        <v>20</v>
      </c>
      <c r="H537" t="s">
        <v>20</v>
      </c>
      <c r="I537" t="s">
        <v>77</v>
      </c>
      <c r="J537" t="s">
        <v>78</v>
      </c>
      <c r="K537" t="s">
        <v>121</v>
      </c>
      <c r="L537" t="s">
        <v>257</v>
      </c>
      <c r="M537" t="s">
        <v>138</v>
      </c>
      <c r="N537" t="s">
        <v>139</v>
      </c>
    </row>
    <row r="538" spans="1:14" x14ac:dyDescent="0.2">
      <c r="A538">
        <v>980939</v>
      </c>
      <c r="B538">
        <f>YEAR(#REF!)</f>
        <v>2016</v>
      </c>
      <c r="C538" t="s">
        <v>508</v>
      </c>
      <c r="D538" s="1">
        <v>42484</v>
      </c>
      <c r="E538" t="s">
        <v>193</v>
      </c>
      <c r="F538" t="s">
        <v>29</v>
      </c>
      <c r="H538" t="s">
        <v>29</v>
      </c>
      <c r="I538" t="s">
        <v>89</v>
      </c>
      <c r="J538" t="s">
        <v>78</v>
      </c>
      <c r="K538" t="s">
        <v>29</v>
      </c>
      <c r="L538" t="s">
        <v>287</v>
      </c>
      <c r="M538" t="s">
        <v>255</v>
      </c>
      <c r="N538" t="s">
        <v>163</v>
      </c>
    </row>
    <row r="539" spans="1:14" x14ac:dyDescent="0.2">
      <c r="A539">
        <v>980941</v>
      </c>
      <c r="B539">
        <f>YEAR(#REF!)</f>
        <v>2016</v>
      </c>
      <c r="C539" t="s">
        <v>508</v>
      </c>
      <c r="D539" s="1">
        <v>42485</v>
      </c>
      <c r="E539" t="s">
        <v>33</v>
      </c>
      <c r="F539" t="s">
        <v>24</v>
      </c>
      <c r="H539" t="s">
        <v>33</v>
      </c>
      <c r="I539" t="s">
        <v>89</v>
      </c>
      <c r="J539" t="s">
        <v>78</v>
      </c>
      <c r="K539" t="s">
        <v>24</v>
      </c>
      <c r="L539" t="s">
        <v>111</v>
      </c>
      <c r="M539" t="s">
        <v>159</v>
      </c>
      <c r="N539" t="s">
        <v>95</v>
      </c>
    </row>
    <row r="540" spans="1:14" x14ac:dyDescent="0.2">
      <c r="A540">
        <v>980943</v>
      </c>
      <c r="B540">
        <f>YEAR(#REF!)</f>
        <v>2016</v>
      </c>
      <c r="C540" t="s">
        <v>508</v>
      </c>
      <c r="D540" s="1">
        <v>42486</v>
      </c>
      <c r="E540" t="s">
        <v>39</v>
      </c>
      <c r="F540" t="s">
        <v>193</v>
      </c>
      <c r="H540" t="s">
        <v>193</v>
      </c>
      <c r="I540" t="s">
        <v>89</v>
      </c>
      <c r="J540" t="s">
        <v>78</v>
      </c>
      <c r="K540" t="s">
        <v>193</v>
      </c>
      <c r="L540" t="s">
        <v>194</v>
      </c>
      <c r="M540" t="s">
        <v>164</v>
      </c>
      <c r="N540" t="s">
        <v>145</v>
      </c>
    </row>
    <row r="541" spans="1:14" x14ac:dyDescent="0.2">
      <c r="A541">
        <v>980945</v>
      </c>
      <c r="B541">
        <f>YEAR(#REF!)</f>
        <v>2016</v>
      </c>
      <c r="C541" t="s">
        <v>508</v>
      </c>
      <c r="D541" s="1">
        <v>42487</v>
      </c>
      <c r="E541" t="s">
        <v>76</v>
      </c>
      <c r="F541" t="s">
        <v>121</v>
      </c>
      <c r="H541" t="s">
        <v>76</v>
      </c>
      <c r="I541" t="s">
        <v>89</v>
      </c>
      <c r="J541" t="s">
        <v>78</v>
      </c>
      <c r="K541" t="s">
        <v>121</v>
      </c>
      <c r="L541" t="s">
        <v>449</v>
      </c>
      <c r="M541" t="s">
        <v>87</v>
      </c>
      <c r="N541" t="s">
        <v>88</v>
      </c>
    </row>
    <row r="542" spans="1:14" x14ac:dyDescent="0.2">
      <c r="A542">
        <v>980947</v>
      </c>
      <c r="B542">
        <f>YEAR(#REF!)</f>
        <v>2016</v>
      </c>
      <c r="C542" t="s">
        <v>508</v>
      </c>
      <c r="D542" s="1">
        <v>42488</v>
      </c>
      <c r="E542" t="s">
        <v>24</v>
      </c>
      <c r="F542" t="s">
        <v>29</v>
      </c>
      <c r="H542" t="s">
        <v>24</v>
      </c>
      <c r="I542" t="s">
        <v>89</v>
      </c>
      <c r="J542" t="s">
        <v>78</v>
      </c>
      <c r="K542" t="s">
        <v>24</v>
      </c>
      <c r="L542" t="s">
        <v>96</v>
      </c>
      <c r="M542" t="s">
        <v>97</v>
      </c>
      <c r="N542" t="s">
        <v>92</v>
      </c>
    </row>
    <row r="543" spans="1:14" x14ac:dyDescent="0.2">
      <c r="A543">
        <v>980949</v>
      </c>
      <c r="B543">
        <f>YEAR(#REF!)</f>
        <v>2016</v>
      </c>
      <c r="C543" t="s">
        <v>508</v>
      </c>
      <c r="D543" s="1">
        <v>42489</v>
      </c>
      <c r="E543" t="s">
        <v>193</v>
      </c>
      <c r="F543" t="s">
        <v>121</v>
      </c>
      <c r="H543" t="s">
        <v>121</v>
      </c>
      <c r="I543" t="s">
        <v>89</v>
      </c>
      <c r="J543" t="s">
        <v>78</v>
      </c>
      <c r="K543" t="s">
        <v>121</v>
      </c>
      <c r="L543" t="s">
        <v>158</v>
      </c>
      <c r="M543" t="s">
        <v>255</v>
      </c>
      <c r="N543" t="s">
        <v>163</v>
      </c>
    </row>
    <row r="544" spans="1:14" x14ac:dyDescent="0.2">
      <c r="A544">
        <v>980953</v>
      </c>
      <c r="B544">
        <f>YEAR(#REF!)</f>
        <v>2016</v>
      </c>
      <c r="C544" t="s">
        <v>508</v>
      </c>
      <c r="D544" s="1">
        <v>42490</v>
      </c>
      <c r="E544" t="s">
        <v>39</v>
      </c>
      <c r="F544" t="s">
        <v>20</v>
      </c>
      <c r="H544" t="s">
        <v>20</v>
      </c>
      <c r="I544" t="s">
        <v>89</v>
      </c>
      <c r="J544" t="s">
        <v>78</v>
      </c>
      <c r="K544" t="s">
        <v>39</v>
      </c>
      <c r="L544" t="s">
        <v>80</v>
      </c>
      <c r="M544" t="s">
        <v>164</v>
      </c>
      <c r="N544" t="s">
        <v>145</v>
      </c>
    </row>
    <row r="545" spans="1:14" x14ac:dyDescent="0.2">
      <c r="A545">
        <v>980951</v>
      </c>
      <c r="B545">
        <f>YEAR(#REF!)</f>
        <v>2016</v>
      </c>
      <c r="C545" t="s">
        <v>508</v>
      </c>
      <c r="D545" s="1">
        <v>42490</v>
      </c>
      <c r="E545" t="s">
        <v>76</v>
      </c>
      <c r="F545" t="s">
        <v>29</v>
      </c>
      <c r="H545" t="s">
        <v>29</v>
      </c>
      <c r="I545" t="s">
        <v>89</v>
      </c>
      <c r="J545" t="s">
        <v>78</v>
      </c>
      <c r="K545" t="s">
        <v>76</v>
      </c>
      <c r="L545" t="s">
        <v>477</v>
      </c>
      <c r="M545" t="s">
        <v>87</v>
      </c>
      <c r="N545" t="s">
        <v>88</v>
      </c>
    </row>
    <row r="546" spans="1:14" x14ac:dyDescent="0.2">
      <c r="A546">
        <v>980955</v>
      </c>
      <c r="B546">
        <f>YEAR(#REF!)</f>
        <v>2016</v>
      </c>
      <c r="C546" t="s">
        <v>508</v>
      </c>
      <c r="D546" s="1">
        <v>42491</v>
      </c>
      <c r="E546" t="s">
        <v>121</v>
      </c>
      <c r="F546" t="s">
        <v>33</v>
      </c>
      <c r="H546" t="s">
        <v>121</v>
      </c>
      <c r="I546" t="s">
        <v>89</v>
      </c>
      <c r="J546" t="s">
        <v>78</v>
      </c>
      <c r="K546" t="s">
        <v>33</v>
      </c>
      <c r="L546" t="s">
        <v>137</v>
      </c>
      <c r="M546" t="s">
        <v>138</v>
      </c>
      <c r="N546" t="s">
        <v>139</v>
      </c>
    </row>
    <row r="547" spans="1:14" x14ac:dyDescent="0.2">
      <c r="A547">
        <v>980957</v>
      </c>
      <c r="B547">
        <f>YEAR(#REF!)</f>
        <v>2016</v>
      </c>
      <c r="C547" t="s">
        <v>508</v>
      </c>
      <c r="D547" s="1">
        <v>42491</v>
      </c>
      <c r="E547" t="s">
        <v>193</v>
      </c>
      <c r="F547" t="s">
        <v>24</v>
      </c>
      <c r="H547" t="s">
        <v>24</v>
      </c>
      <c r="I547" t="s">
        <v>89</v>
      </c>
      <c r="J547" t="s">
        <v>78</v>
      </c>
      <c r="K547" t="s">
        <v>24</v>
      </c>
      <c r="L547" t="s">
        <v>96</v>
      </c>
      <c r="M547" t="s">
        <v>255</v>
      </c>
      <c r="N547" t="s">
        <v>163</v>
      </c>
    </row>
    <row r="548" spans="1:14" x14ac:dyDescent="0.2">
      <c r="A548">
        <v>980959</v>
      </c>
      <c r="B548">
        <f>YEAR(#REF!)</f>
        <v>2016</v>
      </c>
      <c r="C548" t="s">
        <v>508</v>
      </c>
      <c r="D548" s="1">
        <v>42492</v>
      </c>
      <c r="E548" t="s">
        <v>20</v>
      </c>
      <c r="F548" t="s">
        <v>29</v>
      </c>
      <c r="H548" t="s">
        <v>29</v>
      </c>
      <c r="I548" t="s">
        <v>89</v>
      </c>
      <c r="J548" t="s">
        <v>78</v>
      </c>
      <c r="K548" t="s">
        <v>29</v>
      </c>
      <c r="L548" t="s">
        <v>140</v>
      </c>
      <c r="M548" t="s">
        <v>196</v>
      </c>
      <c r="N548" t="s">
        <v>197</v>
      </c>
    </row>
    <row r="549" spans="1:14" x14ac:dyDescent="0.2">
      <c r="A549">
        <v>980961</v>
      </c>
      <c r="B549">
        <f>YEAR(#REF!)</f>
        <v>2016</v>
      </c>
      <c r="C549" t="s">
        <v>508</v>
      </c>
      <c r="D549" s="1">
        <v>42493</v>
      </c>
      <c r="E549" t="s">
        <v>121</v>
      </c>
      <c r="F549" t="s">
        <v>76</v>
      </c>
      <c r="H549" t="s">
        <v>76</v>
      </c>
      <c r="I549" t="s">
        <v>89</v>
      </c>
      <c r="J549" t="s">
        <v>78</v>
      </c>
      <c r="K549" t="s">
        <v>76</v>
      </c>
      <c r="L549" t="s">
        <v>183</v>
      </c>
      <c r="M549" t="s">
        <v>138</v>
      </c>
      <c r="N549" t="s">
        <v>139</v>
      </c>
    </row>
    <row r="550" spans="1:14" x14ac:dyDescent="0.2">
      <c r="A550">
        <v>980963</v>
      </c>
      <c r="B550">
        <f>YEAR(#REF!)</f>
        <v>2016</v>
      </c>
      <c r="C550" t="s">
        <v>508</v>
      </c>
      <c r="D550" s="1">
        <v>42494</v>
      </c>
      <c r="E550" t="s">
        <v>29</v>
      </c>
      <c r="F550" t="s">
        <v>33</v>
      </c>
      <c r="H550" t="s">
        <v>33</v>
      </c>
      <c r="I550" t="s">
        <v>89</v>
      </c>
      <c r="J550" t="s">
        <v>78</v>
      </c>
      <c r="K550" t="s">
        <v>29</v>
      </c>
      <c r="L550" t="s">
        <v>140</v>
      </c>
      <c r="M550" t="s">
        <v>134</v>
      </c>
      <c r="N550" t="s">
        <v>135</v>
      </c>
    </row>
    <row r="551" spans="1:14" x14ac:dyDescent="0.2">
      <c r="A551">
        <v>980965</v>
      </c>
      <c r="B551">
        <f>YEAR(#REF!)</f>
        <v>2016</v>
      </c>
      <c r="C551" t="s">
        <v>508</v>
      </c>
      <c r="D551" s="1">
        <v>42495</v>
      </c>
      <c r="E551" t="s">
        <v>76</v>
      </c>
      <c r="F551" t="s">
        <v>193</v>
      </c>
      <c r="H551" t="s">
        <v>193</v>
      </c>
      <c r="I551" t="s">
        <v>89</v>
      </c>
      <c r="J551" t="s">
        <v>78</v>
      </c>
      <c r="K551" t="s">
        <v>193</v>
      </c>
      <c r="L551" t="s">
        <v>263</v>
      </c>
      <c r="M551" t="s">
        <v>87</v>
      </c>
      <c r="N551" t="s">
        <v>88</v>
      </c>
    </row>
    <row r="552" spans="1:14" x14ac:dyDescent="0.2">
      <c r="A552">
        <v>980967</v>
      </c>
      <c r="B552">
        <f>YEAR(#REF!)</f>
        <v>2016</v>
      </c>
      <c r="C552" t="s">
        <v>508</v>
      </c>
      <c r="D552" s="1">
        <v>42496</v>
      </c>
      <c r="E552" t="s">
        <v>39</v>
      </c>
      <c r="F552" t="s">
        <v>121</v>
      </c>
      <c r="H552" t="s">
        <v>39</v>
      </c>
      <c r="I552" t="s">
        <v>89</v>
      </c>
      <c r="J552" t="s">
        <v>78</v>
      </c>
      <c r="K552" t="s">
        <v>39</v>
      </c>
      <c r="L552" t="s">
        <v>323</v>
      </c>
      <c r="M552" t="s">
        <v>164</v>
      </c>
      <c r="N552" t="s">
        <v>145</v>
      </c>
    </row>
    <row r="553" spans="1:14" x14ac:dyDescent="0.2">
      <c r="A553">
        <v>980971</v>
      </c>
      <c r="B553">
        <f>YEAR(#REF!)</f>
        <v>2016</v>
      </c>
      <c r="C553" t="s">
        <v>508</v>
      </c>
      <c r="D553" s="1">
        <v>42497</v>
      </c>
      <c r="E553" t="s">
        <v>33</v>
      </c>
      <c r="F553" t="s">
        <v>76</v>
      </c>
      <c r="H553" t="s">
        <v>76</v>
      </c>
      <c r="I553" t="s">
        <v>89</v>
      </c>
      <c r="J553" t="s">
        <v>78</v>
      </c>
      <c r="K553" t="s">
        <v>33</v>
      </c>
      <c r="L553" t="s">
        <v>245</v>
      </c>
      <c r="M553" t="s">
        <v>159</v>
      </c>
      <c r="N553" t="s">
        <v>95</v>
      </c>
    </row>
    <row r="554" spans="1:14" x14ac:dyDescent="0.2">
      <c r="A554">
        <v>980969</v>
      </c>
      <c r="B554">
        <f>YEAR(#REF!)</f>
        <v>2016</v>
      </c>
      <c r="C554" t="s">
        <v>508</v>
      </c>
      <c r="D554" s="1">
        <v>42497</v>
      </c>
      <c r="E554" t="s">
        <v>20</v>
      </c>
      <c r="F554" t="s">
        <v>193</v>
      </c>
      <c r="H554" t="s">
        <v>20</v>
      </c>
      <c r="I554" t="s">
        <v>89</v>
      </c>
      <c r="J554" t="s">
        <v>78</v>
      </c>
      <c r="K554" t="s">
        <v>20</v>
      </c>
      <c r="L554" t="s">
        <v>257</v>
      </c>
      <c r="M554" t="s">
        <v>196</v>
      </c>
      <c r="N554" t="s">
        <v>197</v>
      </c>
    </row>
    <row r="555" spans="1:14" x14ac:dyDescent="0.2">
      <c r="A555">
        <v>980973</v>
      </c>
      <c r="B555">
        <f>YEAR(#REF!)</f>
        <v>2016</v>
      </c>
      <c r="C555" t="s">
        <v>508</v>
      </c>
      <c r="D555" s="1">
        <v>42498</v>
      </c>
      <c r="E555" t="s">
        <v>24</v>
      </c>
      <c r="F555" t="s">
        <v>39</v>
      </c>
      <c r="H555" t="s">
        <v>24</v>
      </c>
      <c r="I555" t="s">
        <v>89</v>
      </c>
      <c r="J555" t="s">
        <v>78</v>
      </c>
      <c r="K555" t="s">
        <v>39</v>
      </c>
      <c r="L555" t="s">
        <v>114</v>
      </c>
      <c r="M555" t="s">
        <v>126</v>
      </c>
      <c r="N555" t="s">
        <v>127</v>
      </c>
    </row>
    <row r="556" spans="1:14" x14ac:dyDescent="0.2">
      <c r="A556">
        <v>980975</v>
      </c>
      <c r="B556">
        <f>YEAR(#REF!)</f>
        <v>2016</v>
      </c>
      <c r="C556" t="s">
        <v>508</v>
      </c>
      <c r="D556" s="1">
        <v>42498</v>
      </c>
      <c r="E556" t="s">
        <v>29</v>
      </c>
      <c r="F556" t="s">
        <v>121</v>
      </c>
      <c r="H556" t="s">
        <v>121</v>
      </c>
      <c r="I556" t="s">
        <v>89</v>
      </c>
      <c r="J556" t="s">
        <v>78</v>
      </c>
      <c r="K556" t="s">
        <v>121</v>
      </c>
      <c r="L556" t="s">
        <v>288</v>
      </c>
      <c r="M556" t="s">
        <v>134</v>
      </c>
      <c r="N556" t="s">
        <v>135</v>
      </c>
    </row>
    <row r="557" spans="1:14" x14ac:dyDescent="0.2">
      <c r="A557">
        <v>980977</v>
      </c>
      <c r="B557">
        <f>YEAR(#REF!)</f>
        <v>2016</v>
      </c>
      <c r="C557" t="s">
        <v>508</v>
      </c>
      <c r="D557" s="1">
        <v>42499</v>
      </c>
      <c r="E557" t="s">
        <v>33</v>
      </c>
      <c r="F557" t="s">
        <v>20</v>
      </c>
      <c r="H557" t="s">
        <v>33</v>
      </c>
      <c r="I557" t="s">
        <v>89</v>
      </c>
      <c r="J557" t="s">
        <v>78</v>
      </c>
      <c r="K557" t="s">
        <v>20</v>
      </c>
      <c r="L557" t="s">
        <v>166</v>
      </c>
      <c r="M557" t="s">
        <v>159</v>
      </c>
      <c r="N557" t="s">
        <v>95</v>
      </c>
    </row>
    <row r="558" spans="1:14" x14ac:dyDescent="0.2">
      <c r="A558">
        <v>980979</v>
      </c>
      <c r="B558">
        <f>YEAR(#REF!)</f>
        <v>2016</v>
      </c>
      <c r="C558" t="s">
        <v>508</v>
      </c>
      <c r="D558" s="1">
        <v>42500</v>
      </c>
      <c r="E558" t="s">
        <v>193</v>
      </c>
      <c r="F558" t="s">
        <v>39</v>
      </c>
      <c r="H558" t="s">
        <v>39</v>
      </c>
      <c r="I558" t="s">
        <v>77</v>
      </c>
      <c r="J558" t="s">
        <v>78</v>
      </c>
      <c r="K558" t="s">
        <v>39</v>
      </c>
      <c r="L558" t="s">
        <v>366</v>
      </c>
      <c r="M558" t="s">
        <v>126</v>
      </c>
      <c r="N558" t="s">
        <v>127</v>
      </c>
    </row>
    <row r="559" spans="1:14" x14ac:dyDescent="0.2">
      <c r="A559">
        <v>980981</v>
      </c>
      <c r="B559">
        <f>YEAR(#REF!)</f>
        <v>2016</v>
      </c>
      <c r="C559" t="s">
        <v>508</v>
      </c>
      <c r="D559" s="1">
        <v>42501</v>
      </c>
      <c r="E559" t="s">
        <v>20</v>
      </c>
      <c r="F559" t="s">
        <v>24</v>
      </c>
      <c r="H559" t="s">
        <v>24</v>
      </c>
      <c r="I559" t="s">
        <v>89</v>
      </c>
      <c r="J559" t="s">
        <v>78</v>
      </c>
      <c r="K559" t="s">
        <v>24</v>
      </c>
      <c r="L559" t="s">
        <v>148</v>
      </c>
      <c r="M559" t="s">
        <v>196</v>
      </c>
      <c r="N559" t="s">
        <v>197</v>
      </c>
    </row>
    <row r="560" spans="1:14" x14ac:dyDescent="0.2">
      <c r="A560">
        <v>980983</v>
      </c>
      <c r="B560">
        <f>YEAR(#REF!)</f>
        <v>2016</v>
      </c>
      <c r="C560" t="s">
        <v>508</v>
      </c>
      <c r="D560" s="1">
        <v>42502</v>
      </c>
      <c r="E560" t="s">
        <v>39</v>
      </c>
      <c r="F560" t="s">
        <v>76</v>
      </c>
      <c r="H560" t="s">
        <v>76</v>
      </c>
      <c r="I560" t="s">
        <v>89</v>
      </c>
      <c r="J560" t="s">
        <v>78</v>
      </c>
      <c r="K560" t="s">
        <v>76</v>
      </c>
      <c r="L560" t="s">
        <v>449</v>
      </c>
      <c r="M560" t="s">
        <v>164</v>
      </c>
      <c r="N560" t="s">
        <v>145</v>
      </c>
    </row>
    <row r="561" spans="1:14" x14ac:dyDescent="0.2">
      <c r="A561">
        <v>980985</v>
      </c>
      <c r="B561">
        <f>YEAR(#REF!)</f>
        <v>2016</v>
      </c>
      <c r="C561" t="s">
        <v>508</v>
      </c>
      <c r="D561" s="1">
        <v>42503</v>
      </c>
      <c r="E561" t="s">
        <v>24</v>
      </c>
      <c r="F561" t="s">
        <v>33</v>
      </c>
      <c r="H561" t="s">
        <v>24</v>
      </c>
      <c r="I561" t="s">
        <v>77</v>
      </c>
      <c r="J561" t="s">
        <v>78</v>
      </c>
      <c r="K561" t="s">
        <v>33</v>
      </c>
      <c r="L561" t="s">
        <v>245</v>
      </c>
      <c r="M561" t="s">
        <v>126</v>
      </c>
      <c r="N561" t="s">
        <v>127</v>
      </c>
    </row>
    <row r="562" spans="1:14" x14ac:dyDescent="0.2">
      <c r="A562">
        <v>980987</v>
      </c>
      <c r="B562">
        <f>YEAR(#REF!)</f>
        <v>2016</v>
      </c>
      <c r="C562" t="s">
        <v>508</v>
      </c>
      <c r="D562" s="1">
        <v>42504</v>
      </c>
      <c r="E562" t="s">
        <v>20</v>
      </c>
      <c r="F562" t="s">
        <v>121</v>
      </c>
      <c r="H562" t="s">
        <v>121</v>
      </c>
      <c r="I562" t="s">
        <v>89</v>
      </c>
      <c r="J562" t="s">
        <v>78</v>
      </c>
      <c r="K562" t="s">
        <v>20</v>
      </c>
      <c r="L562" t="s">
        <v>38</v>
      </c>
      <c r="M562" t="s">
        <v>196</v>
      </c>
      <c r="N562" t="s">
        <v>197</v>
      </c>
    </row>
    <row r="563" spans="1:14" x14ac:dyDescent="0.2">
      <c r="A563">
        <v>980989</v>
      </c>
      <c r="B563">
        <f>YEAR(#REF!)</f>
        <v>2016</v>
      </c>
      <c r="C563" t="s">
        <v>508</v>
      </c>
      <c r="D563" s="1">
        <v>42504</v>
      </c>
      <c r="E563" t="s">
        <v>29</v>
      </c>
      <c r="F563" t="s">
        <v>193</v>
      </c>
      <c r="H563" t="s">
        <v>193</v>
      </c>
      <c r="I563" t="s">
        <v>77</v>
      </c>
      <c r="J563" t="s">
        <v>78</v>
      </c>
      <c r="K563" t="s">
        <v>29</v>
      </c>
      <c r="L563" t="s">
        <v>199</v>
      </c>
      <c r="M563" t="s">
        <v>134</v>
      </c>
      <c r="N563" t="s">
        <v>135</v>
      </c>
    </row>
    <row r="564" spans="1:14" x14ac:dyDescent="0.2">
      <c r="A564">
        <v>980991</v>
      </c>
      <c r="B564">
        <f>YEAR(#REF!)</f>
        <v>2016</v>
      </c>
      <c r="C564" t="s">
        <v>508</v>
      </c>
      <c r="D564" s="1">
        <v>42505</v>
      </c>
      <c r="E564" t="s">
        <v>33</v>
      </c>
      <c r="F564" t="s">
        <v>39</v>
      </c>
      <c r="H564" t="s">
        <v>33</v>
      </c>
      <c r="I564" t="s">
        <v>77</v>
      </c>
      <c r="J564" t="s">
        <v>78</v>
      </c>
      <c r="K564" t="s">
        <v>39</v>
      </c>
      <c r="L564" t="s">
        <v>443</v>
      </c>
      <c r="M564" t="s">
        <v>159</v>
      </c>
      <c r="N564" t="s">
        <v>95</v>
      </c>
    </row>
    <row r="565" spans="1:14" x14ac:dyDescent="0.2">
      <c r="A565">
        <v>980993</v>
      </c>
      <c r="B565">
        <f>YEAR(#REF!)</f>
        <v>2016</v>
      </c>
      <c r="C565" t="s">
        <v>508</v>
      </c>
      <c r="D565" s="1">
        <v>42505</v>
      </c>
      <c r="E565" t="s">
        <v>24</v>
      </c>
      <c r="F565" t="s">
        <v>76</v>
      </c>
      <c r="H565" t="s">
        <v>76</v>
      </c>
      <c r="I565" t="s">
        <v>89</v>
      </c>
      <c r="J565" t="s">
        <v>78</v>
      </c>
      <c r="K565" t="s">
        <v>24</v>
      </c>
      <c r="L565" t="s">
        <v>148</v>
      </c>
      <c r="M565" t="s">
        <v>126</v>
      </c>
      <c r="N565" t="s">
        <v>127</v>
      </c>
    </row>
    <row r="566" spans="1:14" x14ac:dyDescent="0.2">
      <c r="A566">
        <v>980995</v>
      </c>
      <c r="B566">
        <f>YEAR(#REF!)</f>
        <v>2016</v>
      </c>
      <c r="C566" t="s">
        <v>508</v>
      </c>
      <c r="D566" s="1">
        <v>42506</v>
      </c>
      <c r="E566" t="s">
        <v>29</v>
      </c>
      <c r="F566" t="s">
        <v>20</v>
      </c>
      <c r="H566" t="s">
        <v>20</v>
      </c>
      <c r="I566" t="s">
        <v>89</v>
      </c>
      <c r="J566" t="s">
        <v>78</v>
      </c>
      <c r="K566" t="s">
        <v>20</v>
      </c>
      <c r="L566" t="s">
        <v>257</v>
      </c>
      <c r="M566" t="s">
        <v>134</v>
      </c>
      <c r="N566" t="s">
        <v>135</v>
      </c>
    </row>
    <row r="567" spans="1:14" x14ac:dyDescent="0.2">
      <c r="A567">
        <v>980997</v>
      </c>
      <c r="B567">
        <f>YEAR(#REF!)</f>
        <v>2016</v>
      </c>
      <c r="C567" t="s">
        <v>508</v>
      </c>
      <c r="D567" s="1">
        <v>42507</v>
      </c>
      <c r="E567" t="s">
        <v>193</v>
      </c>
      <c r="F567" t="s">
        <v>76</v>
      </c>
      <c r="H567" t="s">
        <v>193</v>
      </c>
      <c r="I567" t="s">
        <v>89</v>
      </c>
      <c r="J567" t="s">
        <v>78</v>
      </c>
      <c r="K567" t="s">
        <v>193</v>
      </c>
      <c r="L567" t="s">
        <v>194</v>
      </c>
      <c r="M567" t="s">
        <v>126</v>
      </c>
      <c r="N567" t="s">
        <v>127</v>
      </c>
    </row>
    <row r="568" spans="1:14" x14ac:dyDescent="0.2">
      <c r="A568">
        <v>980999</v>
      </c>
      <c r="B568">
        <f>YEAR(#REF!)</f>
        <v>2016</v>
      </c>
      <c r="C568" t="s">
        <v>508</v>
      </c>
      <c r="D568" s="1">
        <v>42508</v>
      </c>
      <c r="E568" t="s">
        <v>20</v>
      </c>
      <c r="F568" t="s">
        <v>33</v>
      </c>
      <c r="H568" t="s">
        <v>33</v>
      </c>
      <c r="I568" t="s">
        <v>89</v>
      </c>
      <c r="J568" t="s">
        <v>78</v>
      </c>
      <c r="K568" t="s">
        <v>20</v>
      </c>
      <c r="L568" t="s">
        <v>257</v>
      </c>
      <c r="M568" t="s">
        <v>196</v>
      </c>
      <c r="N568" t="s">
        <v>197</v>
      </c>
    </row>
    <row r="569" spans="1:14" x14ac:dyDescent="0.2">
      <c r="A569">
        <v>981001</v>
      </c>
      <c r="B569">
        <f>YEAR(#REF!)</f>
        <v>2016</v>
      </c>
      <c r="C569" t="s">
        <v>508</v>
      </c>
      <c r="D569" s="1">
        <v>42509</v>
      </c>
      <c r="E569" t="s">
        <v>121</v>
      </c>
      <c r="F569" t="s">
        <v>29</v>
      </c>
      <c r="H569" t="s">
        <v>121</v>
      </c>
      <c r="I569" t="s">
        <v>89</v>
      </c>
      <c r="J569" t="s">
        <v>78</v>
      </c>
      <c r="K569" t="s">
        <v>121</v>
      </c>
      <c r="L569" t="s">
        <v>158</v>
      </c>
      <c r="M569" t="s">
        <v>301</v>
      </c>
      <c r="N569" t="s">
        <v>302</v>
      </c>
    </row>
    <row r="570" spans="1:14" x14ac:dyDescent="0.2">
      <c r="A570">
        <v>981003</v>
      </c>
      <c r="B570">
        <f>YEAR(#REF!)</f>
        <v>2016</v>
      </c>
      <c r="C570" t="s">
        <v>508</v>
      </c>
      <c r="D570" s="1">
        <v>42510</v>
      </c>
      <c r="E570" t="s">
        <v>76</v>
      </c>
      <c r="F570" t="s">
        <v>39</v>
      </c>
      <c r="H570" t="s">
        <v>76</v>
      </c>
      <c r="I570" t="s">
        <v>89</v>
      </c>
      <c r="J570" t="s">
        <v>78</v>
      </c>
      <c r="K570" t="s">
        <v>76</v>
      </c>
      <c r="L570" t="s">
        <v>222</v>
      </c>
      <c r="M570" t="s">
        <v>81</v>
      </c>
      <c r="N570" t="s">
        <v>82</v>
      </c>
    </row>
    <row r="571" spans="1:14" x14ac:dyDescent="0.2">
      <c r="A571">
        <v>981007</v>
      </c>
      <c r="B571">
        <f>YEAR(#REF!)</f>
        <v>2016</v>
      </c>
      <c r="C571" t="s">
        <v>508</v>
      </c>
      <c r="D571" s="1">
        <v>42511</v>
      </c>
      <c r="E571" t="s">
        <v>121</v>
      </c>
      <c r="F571" t="s">
        <v>24</v>
      </c>
      <c r="H571" t="s">
        <v>121</v>
      </c>
      <c r="I571" t="s">
        <v>89</v>
      </c>
      <c r="J571" t="s">
        <v>78</v>
      </c>
      <c r="K571" t="s">
        <v>121</v>
      </c>
      <c r="L571" t="s">
        <v>259</v>
      </c>
      <c r="M571" t="s">
        <v>301</v>
      </c>
      <c r="N571" t="s">
        <v>302</v>
      </c>
    </row>
    <row r="572" spans="1:14" x14ac:dyDescent="0.2">
      <c r="A572">
        <v>981005</v>
      </c>
      <c r="B572">
        <f>YEAR(#REF!)</f>
        <v>2016</v>
      </c>
      <c r="C572" t="s">
        <v>508</v>
      </c>
      <c r="D572" s="1">
        <v>42511</v>
      </c>
      <c r="E572" t="s">
        <v>193</v>
      </c>
      <c r="F572" t="s">
        <v>33</v>
      </c>
      <c r="H572" t="s">
        <v>33</v>
      </c>
      <c r="I572" t="s">
        <v>77</v>
      </c>
      <c r="J572" t="s">
        <v>78</v>
      </c>
      <c r="K572" t="s">
        <v>193</v>
      </c>
      <c r="L572" t="s">
        <v>119</v>
      </c>
      <c r="M572" t="s">
        <v>126</v>
      </c>
      <c r="N572" t="s">
        <v>127</v>
      </c>
    </row>
    <row r="573" spans="1:14" x14ac:dyDescent="0.2">
      <c r="A573">
        <v>981009</v>
      </c>
      <c r="B573">
        <f>YEAR(#REF!)</f>
        <v>2016</v>
      </c>
      <c r="C573" t="s">
        <v>508</v>
      </c>
      <c r="D573" s="1">
        <v>42512</v>
      </c>
      <c r="E573" t="s">
        <v>29</v>
      </c>
      <c r="F573" t="s">
        <v>39</v>
      </c>
      <c r="H573" t="s">
        <v>39</v>
      </c>
      <c r="I573" t="s">
        <v>89</v>
      </c>
      <c r="J573" t="s">
        <v>78</v>
      </c>
      <c r="K573" t="s">
        <v>29</v>
      </c>
      <c r="L573" t="s">
        <v>199</v>
      </c>
      <c r="M573" t="s">
        <v>134</v>
      </c>
      <c r="N573" t="s">
        <v>135</v>
      </c>
    </row>
    <row r="574" spans="1:14" x14ac:dyDescent="0.2">
      <c r="A574">
        <v>981011</v>
      </c>
      <c r="B574">
        <f>YEAR(#REF!)</f>
        <v>2016</v>
      </c>
      <c r="C574" t="s">
        <v>508</v>
      </c>
      <c r="D574" s="1">
        <v>42512</v>
      </c>
      <c r="E574" t="s">
        <v>76</v>
      </c>
      <c r="F574" t="s">
        <v>20</v>
      </c>
      <c r="H574" t="s">
        <v>20</v>
      </c>
      <c r="I574" t="s">
        <v>89</v>
      </c>
      <c r="J574" t="s">
        <v>78</v>
      </c>
      <c r="K574" t="s">
        <v>20</v>
      </c>
      <c r="L574" t="s">
        <v>257</v>
      </c>
      <c r="M574" t="s">
        <v>81</v>
      </c>
      <c r="N574" t="s">
        <v>82</v>
      </c>
    </row>
    <row r="575" spans="1:14" x14ac:dyDescent="0.2">
      <c r="A575">
        <v>981013</v>
      </c>
      <c r="B575">
        <f>YEAR(#REF!)</f>
        <v>2016</v>
      </c>
      <c r="C575" t="s">
        <v>508</v>
      </c>
      <c r="D575" s="1">
        <v>42514</v>
      </c>
      <c r="E575" t="s">
        <v>121</v>
      </c>
      <c r="F575" t="s">
        <v>20</v>
      </c>
      <c r="H575" t="s">
        <v>20</v>
      </c>
      <c r="I575" t="s">
        <v>89</v>
      </c>
      <c r="J575" t="s">
        <v>78</v>
      </c>
      <c r="K575" t="s">
        <v>20</v>
      </c>
      <c r="L575" t="s">
        <v>38</v>
      </c>
      <c r="M575" t="s">
        <v>196</v>
      </c>
      <c r="N575" t="s">
        <v>197</v>
      </c>
    </row>
    <row r="576" spans="1:14" x14ac:dyDescent="0.2">
      <c r="A576">
        <v>981015</v>
      </c>
      <c r="B576">
        <f>YEAR(#REF!)</f>
        <v>2016</v>
      </c>
      <c r="C576" t="s">
        <v>508</v>
      </c>
      <c r="D576" s="1">
        <v>42515</v>
      </c>
      <c r="E576" t="s">
        <v>39</v>
      </c>
      <c r="F576" t="s">
        <v>29</v>
      </c>
      <c r="H576" t="s">
        <v>29</v>
      </c>
      <c r="I576" t="s">
        <v>89</v>
      </c>
      <c r="J576" t="s">
        <v>78</v>
      </c>
      <c r="K576" t="s">
        <v>39</v>
      </c>
      <c r="L576" t="s">
        <v>125</v>
      </c>
      <c r="M576" t="s">
        <v>87</v>
      </c>
      <c r="N576" t="s">
        <v>88</v>
      </c>
    </row>
    <row r="577" spans="1:14" x14ac:dyDescent="0.2">
      <c r="A577">
        <v>981017</v>
      </c>
      <c r="B577">
        <f>YEAR(#REF!)</f>
        <v>2016</v>
      </c>
      <c r="C577" t="s">
        <v>508</v>
      </c>
      <c r="D577" s="1">
        <v>42517</v>
      </c>
      <c r="E577" t="s">
        <v>121</v>
      </c>
      <c r="F577" t="s">
        <v>39</v>
      </c>
      <c r="H577" t="s">
        <v>39</v>
      </c>
      <c r="I577" t="s">
        <v>89</v>
      </c>
      <c r="J577" t="s">
        <v>78</v>
      </c>
      <c r="K577" t="s">
        <v>39</v>
      </c>
      <c r="L577" t="s">
        <v>80</v>
      </c>
      <c r="M577" t="s">
        <v>87</v>
      </c>
      <c r="N577" t="s">
        <v>88</v>
      </c>
    </row>
    <row r="578" spans="1:14" x14ac:dyDescent="0.2">
      <c r="A578">
        <v>981019</v>
      </c>
      <c r="B578">
        <f>YEAR(#REF!)</f>
        <v>2016</v>
      </c>
      <c r="C578" t="s">
        <v>508</v>
      </c>
      <c r="D578" s="1">
        <v>42519</v>
      </c>
      <c r="E578" t="s">
        <v>20</v>
      </c>
      <c r="F578" t="s">
        <v>39</v>
      </c>
      <c r="H578" t="s">
        <v>39</v>
      </c>
      <c r="I578" t="s">
        <v>77</v>
      </c>
      <c r="J578" t="s">
        <v>78</v>
      </c>
      <c r="K578" t="s">
        <v>39</v>
      </c>
      <c r="L578" t="s">
        <v>480</v>
      </c>
      <c r="M578" t="s">
        <v>196</v>
      </c>
      <c r="N578" t="s">
        <v>197</v>
      </c>
    </row>
    <row r="579" spans="1:14" x14ac:dyDescent="0.2">
      <c r="A579">
        <v>1082591</v>
      </c>
      <c r="B579">
        <f>YEAR(#REF!)</f>
        <v>2017</v>
      </c>
      <c r="C579" t="s">
        <v>509</v>
      </c>
      <c r="D579" s="1">
        <v>42830</v>
      </c>
      <c r="E579" t="s">
        <v>39</v>
      </c>
      <c r="F579" t="s">
        <v>20</v>
      </c>
      <c r="H579" t="s">
        <v>20</v>
      </c>
      <c r="I579" t="s">
        <v>89</v>
      </c>
      <c r="J579" t="s">
        <v>78</v>
      </c>
      <c r="K579" t="s">
        <v>39</v>
      </c>
      <c r="L579" t="s">
        <v>225</v>
      </c>
      <c r="M579" t="s">
        <v>164</v>
      </c>
      <c r="N579" t="s">
        <v>145</v>
      </c>
    </row>
    <row r="580" spans="1:14" x14ac:dyDescent="0.2">
      <c r="A580">
        <v>1082592</v>
      </c>
      <c r="B580">
        <f>YEAR(#REF!)</f>
        <v>2017</v>
      </c>
      <c r="C580" t="s">
        <v>509</v>
      </c>
      <c r="D580" s="1">
        <v>42831</v>
      </c>
      <c r="E580" t="s">
        <v>42</v>
      </c>
      <c r="F580" t="s">
        <v>24</v>
      </c>
      <c r="H580" t="s">
        <v>42</v>
      </c>
      <c r="I580" t="s">
        <v>89</v>
      </c>
      <c r="J580" t="s">
        <v>78</v>
      </c>
      <c r="K580" t="s">
        <v>42</v>
      </c>
      <c r="L580" t="s">
        <v>237</v>
      </c>
      <c r="M580" t="s">
        <v>255</v>
      </c>
      <c r="N580" t="s">
        <v>163</v>
      </c>
    </row>
    <row r="581" spans="1:14" x14ac:dyDescent="0.2">
      <c r="A581">
        <v>1082593</v>
      </c>
      <c r="B581">
        <f>YEAR(#REF!)</f>
        <v>2017</v>
      </c>
      <c r="C581" t="s">
        <v>509</v>
      </c>
      <c r="D581" s="1">
        <v>42832</v>
      </c>
      <c r="E581" t="s">
        <v>121</v>
      </c>
      <c r="F581" t="s">
        <v>29</v>
      </c>
      <c r="H581" t="s">
        <v>29</v>
      </c>
      <c r="I581" t="s">
        <v>89</v>
      </c>
      <c r="J581" t="s">
        <v>78</v>
      </c>
      <c r="K581" t="s">
        <v>29</v>
      </c>
      <c r="L581" t="s">
        <v>434</v>
      </c>
      <c r="M581" t="s">
        <v>138</v>
      </c>
      <c r="N581" t="s">
        <v>139</v>
      </c>
    </row>
    <row r="582" spans="1:14" x14ac:dyDescent="0.2">
      <c r="A582">
        <v>1082595</v>
      </c>
      <c r="B582">
        <f>YEAR(#REF!)</f>
        <v>2017</v>
      </c>
      <c r="C582" t="s">
        <v>509</v>
      </c>
      <c r="D582" s="1">
        <v>42833</v>
      </c>
      <c r="E582" t="s">
        <v>20</v>
      </c>
      <c r="F582" t="s">
        <v>76</v>
      </c>
      <c r="H582" t="s">
        <v>20</v>
      </c>
      <c r="I582" t="s">
        <v>77</v>
      </c>
      <c r="J582" t="s">
        <v>78</v>
      </c>
      <c r="K582" t="s">
        <v>20</v>
      </c>
      <c r="L582" t="s">
        <v>442</v>
      </c>
      <c r="M582" t="s">
        <v>294</v>
      </c>
      <c r="N582" t="s">
        <v>243</v>
      </c>
    </row>
    <row r="583" spans="1:14" x14ac:dyDescent="0.2">
      <c r="A583">
        <v>1082594</v>
      </c>
      <c r="B583">
        <f>YEAR(#REF!)</f>
        <v>2017</v>
      </c>
      <c r="C583" t="s">
        <v>509</v>
      </c>
      <c r="D583" s="1">
        <v>42833</v>
      </c>
      <c r="E583" t="s">
        <v>33</v>
      </c>
      <c r="F583" t="s">
        <v>42</v>
      </c>
      <c r="H583" t="s">
        <v>33</v>
      </c>
      <c r="I583" t="s">
        <v>89</v>
      </c>
      <c r="J583" t="s">
        <v>78</v>
      </c>
      <c r="K583" t="s">
        <v>33</v>
      </c>
      <c r="L583" t="s">
        <v>248</v>
      </c>
      <c r="M583" t="s">
        <v>304</v>
      </c>
      <c r="N583" t="s">
        <v>305</v>
      </c>
    </row>
    <row r="584" spans="1:14" x14ac:dyDescent="0.2">
      <c r="A584">
        <v>1082596</v>
      </c>
      <c r="B584">
        <f>YEAR(#REF!)</f>
        <v>2017</v>
      </c>
      <c r="C584" t="s">
        <v>509</v>
      </c>
      <c r="D584" s="1">
        <v>42834</v>
      </c>
      <c r="E584" t="s">
        <v>39</v>
      </c>
      <c r="F584" t="s">
        <v>121</v>
      </c>
      <c r="H584" t="s">
        <v>39</v>
      </c>
      <c r="I584" t="s">
        <v>89</v>
      </c>
      <c r="J584" t="s">
        <v>78</v>
      </c>
      <c r="K584" t="s">
        <v>39</v>
      </c>
      <c r="L584" t="s">
        <v>296</v>
      </c>
      <c r="M584" t="s">
        <v>164</v>
      </c>
      <c r="N584" t="s">
        <v>145</v>
      </c>
    </row>
    <row r="585" spans="1:14" x14ac:dyDescent="0.2">
      <c r="A585">
        <v>1082597</v>
      </c>
      <c r="B585">
        <f>YEAR(#REF!)</f>
        <v>2017</v>
      </c>
      <c r="C585" t="s">
        <v>509</v>
      </c>
      <c r="D585" s="1">
        <v>42834</v>
      </c>
      <c r="E585" t="s">
        <v>24</v>
      </c>
      <c r="F585" t="s">
        <v>29</v>
      </c>
      <c r="H585" t="s">
        <v>24</v>
      </c>
      <c r="I585" t="s">
        <v>89</v>
      </c>
      <c r="J585" t="s">
        <v>78</v>
      </c>
      <c r="K585" t="s">
        <v>24</v>
      </c>
      <c r="L585" t="s">
        <v>122</v>
      </c>
      <c r="M585" t="s">
        <v>97</v>
      </c>
      <c r="N585" t="s">
        <v>92</v>
      </c>
    </row>
    <row r="586" spans="1:14" x14ac:dyDescent="0.2">
      <c r="A586">
        <v>1082598</v>
      </c>
      <c r="B586">
        <f>YEAR(#REF!)</f>
        <v>2017</v>
      </c>
      <c r="C586" t="s">
        <v>509</v>
      </c>
      <c r="D586" s="1">
        <v>42835</v>
      </c>
      <c r="E586" t="s">
        <v>33</v>
      </c>
      <c r="F586" t="s">
        <v>20</v>
      </c>
      <c r="H586" t="s">
        <v>20</v>
      </c>
      <c r="I586" t="s">
        <v>77</v>
      </c>
      <c r="J586" t="s">
        <v>78</v>
      </c>
      <c r="K586" t="s">
        <v>33</v>
      </c>
      <c r="L586" t="s">
        <v>137</v>
      </c>
      <c r="M586" t="s">
        <v>304</v>
      </c>
      <c r="N586" t="s">
        <v>305</v>
      </c>
    </row>
    <row r="587" spans="1:14" x14ac:dyDescent="0.2">
      <c r="A587">
        <v>1082599</v>
      </c>
      <c r="B587">
        <f>YEAR(#REF!)</f>
        <v>2017</v>
      </c>
      <c r="C587" t="s">
        <v>509</v>
      </c>
      <c r="D587" s="1">
        <v>42836</v>
      </c>
      <c r="E587" t="s">
        <v>42</v>
      </c>
      <c r="F587" t="s">
        <v>76</v>
      </c>
      <c r="H587" t="s">
        <v>42</v>
      </c>
      <c r="I587" t="s">
        <v>89</v>
      </c>
      <c r="J587" t="s">
        <v>78</v>
      </c>
      <c r="K587" t="s">
        <v>76</v>
      </c>
      <c r="L587" t="s">
        <v>187</v>
      </c>
      <c r="M587" t="s">
        <v>255</v>
      </c>
      <c r="N587" t="s">
        <v>163</v>
      </c>
    </row>
    <row r="588" spans="1:14" x14ac:dyDescent="0.2">
      <c r="A588">
        <v>1082600</v>
      </c>
      <c r="B588">
        <f>YEAR(#REF!)</f>
        <v>2017</v>
      </c>
      <c r="C588" t="s">
        <v>509</v>
      </c>
      <c r="D588" s="1">
        <v>42837</v>
      </c>
      <c r="E588" t="s">
        <v>24</v>
      </c>
      <c r="F588" t="s">
        <v>39</v>
      </c>
      <c r="H588" t="s">
        <v>24</v>
      </c>
      <c r="I588" t="s">
        <v>89</v>
      </c>
      <c r="J588" t="s">
        <v>78</v>
      </c>
      <c r="K588" t="s">
        <v>24</v>
      </c>
      <c r="L588" t="s">
        <v>108</v>
      </c>
      <c r="M588" t="s">
        <v>97</v>
      </c>
      <c r="N588" t="s">
        <v>92</v>
      </c>
    </row>
    <row r="589" spans="1:14" x14ac:dyDescent="0.2">
      <c r="A589">
        <v>1082601</v>
      </c>
      <c r="B589">
        <f>YEAR(#REF!)</f>
        <v>2017</v>
      </c>
      <c r="C589" t="s">
        <v>509</v>
      </c>
      <c r="D589" s="1">
        <v>42838</v>
      </c>
      <c r="E589" t="s">
        <v>29</v>
      </c>
      <c r="F589" t="s">
        <v>33</v>
      </c>
      <c r="H589" t="s">
        <v>29</v>
      </c>
      <c r="I589" t="s">
        <v>89</v>
      </c>
      <c r="J589" t="s">
        <v>78</v>
      </c>
      <c r="K589" t="s">
        <v>29</v>
      </c>
      <c r="L589" t="s">
        <v>133</v>
      </c>
      <c r="M589" t="s">
        <v>134</v>
      </c>
      <c r="N589" t="s">
        <v>135</v>
      </c>
    </row>
    <row r="590" spans="1:14" x14ac:dyDescent="0.2">
      <c r="A590">
        <v>1082603</v>
      </c>
      <c r="B590">
        <f>YEAR(#REF!)</f>
        <v>2017</v>
      </c>
      <c r="C590" t="s">
        <v>509</v>
      </c>
      <c r="D590" s="1">
        <v>42839</v>
      </c>
      <c r="E590" t="s">
        <v>121</v>
      </c>
      <c r="F590" t="s">
        <v>42</v>
      </c>
      <c r="H590" t="s">
        <v>121</v>
      </c>
      <c r="I590" t="s">
        <v>89</v>
      </c>
      <c r="J590" t="s">
        <v>78</v>
      </c>
      <c r="K590" t="s">
        <v>121</v>
      </c>
      <c r="L590" t="s">
        <v>361</v>
      </c>
      <c r="M590" t="s">
        <v>138</v>
      </c>
      <c r="N590" t="s">
        <v>139</v>
      </c>
    </row>
    <row r="591" spans="1:14" x14ac:dyDescent="0.2">
      <c r="A591">
        <v>1082602</v>
      </c>
      <c r="B591">
        <f>YEAR(#REF!)</f>
        <v>2017</v>
      </c>
      <c r="C591" t="s">
        <v>509</v>
      </c>
      <c r="D591" s="1">
        <v>42839</v>
      </c>
      <c r="E591" t="s">
        <v>20</v>
      </c>
      <c r="F591" t="s">
        <v>24</v>
      </c>
      <c r="H591" t="s">
        <v>24</v>
      </c>
      <c r="I591" t="s">
        <v>89</v>
      </c>
      <c r="J591" t="s">
        <v>78</v>
      </c>
      <c r="K591" t="s">
        <v>24</v>
      </c>
      <c r="L591" t="s">
        <v>123</v>
      </c>
      <c r="M591" t="s">
        <v>196</v>
      </c>
      <c r="N591" t="s">
        <v>197</v>
      </c>
    </row>
    <row r="592" spans="1:14" x14ac:dyDescent="0.2">
      <c r="A592">
        <v>1082604</v>
      </c>
      <c r="B592">
        <f>YEAR(#REF!)</f>
        <v>2017</v>
      </c>
      <c r="C592" t="s">
        <v>509</v>
      </c>
      <c r="D592" s="1">
        <v>42840</v>
      </c>
      <c r="E592" t="s">
        <v>29</v>
      </c>
      <c r="F592" t="s">
        <v>39</v>
      </c>
      <c r="H592" t="s">
        <v>39</v>
      </c>
      <c r="I592" t="s">
        <v>89</v>
      </c>
      <c r="J592" t="s">
        <v>78</v>
      </c>
      <c r="K592" t="s">
        <v>29</v>
      </c>
      <c r="L592" t="s">
        <v>192</v>
      </c>
      <c r="M592" t="s">
        <v>134</v>
      </c>
      <c r="N592" t="s">
        <v>135</v>
      </c>
    </row>
    <row r="593" spans="1:14" x14ac:dyDescent="0.2">
      <c r="A593">
        <v>1082605</v>
      </c>
      <c r="B593">
        <f>YEAR(#REF!)</f>
        <v>2017</v>
      </c>
      <c r="C593" t="s">
        <v>509</v>
      </c>
      <c r="D593" s="1">
        <v>42840</v>
      </c>
      <c r="E593" t="s">
        <v>76</v>
      </c>
      <c r="F593" t="s">
        <v>33</v>
      </c>
      <c r="H593" t="s">
        <v>76</v>
      </c>
      <c r="I593" t="s">
        <v>77</v>
      </c>
      <c r="J593" t="s">
        <v>78</v>
      </c>
      <c r="K593" t="s">
        <v>76</v>
      </c>
      <c r="L593" t="s">
        <v>348</v>
      </c>
      <c r="M593" t="s">
        <v>87</v>
      </c>
      <c r="N593" t="s">
        <v>88</v>
      </c>
    </row>
    <row r="594" spans="1:14" x14ac:dyDescent="0.2">
      <c r="A594">
        <v>1082606</v>
      </c>
      <c r="B594">
        <f>YEAR(#REF!)</f>
        <v>2017</v>
      </c>
      <c r="C594" t="s">
        <v>509</v>
      </c>
      <c r="D594" s="1">
        <v>42841</v>
      </c>
      <c r="E594" t="s">
        <v>24</v>
      </c>
      <c r="F594" t="s">
        <v>121</v>
      </c>
      <c r="H594" t="s">
        <v>24</v>
      </c>
      <c r="I594" t="s">
        <v>89</v>
      </c>
      <c r="J594" t="s">
        <v>78</v>
      </c>
      <c r="K594" t="s">
        <v>24</v>
      </c>
      <c r="L594" t="s">
        <v>122</v>
      </c>
      <c r="M594" t="s">
        <v>97</v>
      </c>
      <c r="N594" t="s">
        <v>92</v>
      </c>
    </row>
    <row r="595" spans="1:14" x14ac:dyDescent="0.2">
      <c r="A595">
        <v>1082607</v>
      </c>
      <c r="B595">
        <f>YEAR(#REF!)</f>
        <v>2017</v>
      </c>
      <c r="C595" t="s">
        <v>509</v>
      </c>
      <c r="D595" s="1">
        <v>42841</v>
      </c>
      <c r="E595" t="s">
        <v>20</v>
      </c>
      <c r="F595" t="s">
        <v>42</v>
      </c>
      <c r="H595" t="s">
        <v>20</v>
      </c>
      <c r="I595" t="s">
        <v>89</v>
      </c>
      <c r="J595" t="s">
        <v>78</v>
      </c>
      <c r="K595" t="s">
        <v>42</v>
      </c>
      <c r="L595" t="s">
        <v>131</v>
      </c>
      <c r="M595" t="s">
        <v>196</v>
      </c>
      <c r="N595" t="s">
        <v>197</v>
      </c>
    </row>
    <row r="596" spans="1:14" x14ac:dyDescent="0.2">
      <c r="A596">
        <v>1082609</v>
      </c>
      <c r="B596">
        <f>YEAR(#REF!)</f>
        <v>2017</v>
      </c>
      <c r="C596" t="s">
        <v>509</v>
      </c>
      <c r="D596" s="1">
        <v>42842</v>
      </c>
      <c r="E596" t="s">
        <v>39</v>
      </c>
      <c r="F596" t="s">
        <v>33</v>
      </c>
      <c r="H596" t="s">
        <v>33</v>
      </c>
      <c r="I596" t="s">
        <v>89</v>
      </c>
      <c r="J596" t="s">
        <v>78</v>
      </c>
      <c r="K596" t="s">
        <v>39</v>
      </c>
      <c r="L596" t="s">
        <v>323</v>
      </c>
      <c r="M596" t="s">
        <v>164</v>
      </c>
      <c r="N596" t="s">
        <v>145</v>
      </c>
    </row>
    <row r="597" spans="1:14" x14ac:dyDescent="0.2">
      <c r="A597">
        <v>1082608</v>
      </c>
      <c r="B597">
        <f>YEAR(#REF!)</f>
        <v>2017</v>
      </c>
      <c r="C597" t="s">
        <v>509</v>
      </c>
      <c r="D597" s="1">
        <v>42842</v>
      </c>
      <c r="E597" t="s">
        <v>76</v>
      </c>
      <c r="F597" t="s">
        <v>29</v>
      </c>
      <c r="H597" t="s">
        <v>76</v>
      </c>
      <c r="I597" t="s">
        <v>77</v>
      </c>
      <c r="J597" t="s">
        <v>78</v>
      </c>
      <c r="K597" t="s">
        <v>29</v>
      </c>
      <c r="L597" t="s">
        <v>221</v>
      </c>
      <c r="M597" t="s">
        <v>87</v>
      </c>
      <c r="N597" t="s">
        <v>88</v>
      </c>
    </row>
    <row r="598" spans="1:14" x14ac:dyDescent="0.2">
      <c r="A598">
        <v>1082610</v>
      </c>
      <c r="B598">
        <f>YEAR(#REF!)</f>
        <v>2017</v>
      </c>
      <c r="C598" t="s">
        <v>509</v>
      </c>
      <c r="D598" s="1">
        <v>42843</v>
      </c>
      <c r="E598" t="s">
        <v>121</v>
      </c>
      <c r="F598" t="s">
        <v>20</v>
      </c>
      <c r="H598" t="s">
        <v>121</v>
      </c>
      <c r="I598" t="s">
        <v>89</v>
      </c>
      <c r="J598" t="s">
        <v>78</v>
      </c>
      <c r="K598" t="s">
        <v>20</v>
      </c>
      <c r="L598" t="s">
        <v>214</v>
      </c>
      <c r="M598" t="s">
        <v>138</v>
      </c>
      <c r="N598" t="s">
        <v>139</v>
      </c>
    </row>
    <row r="599" spans="1:14" x14ac:dyDescent="0.2">
      <c r="A599">
        <v>1082611</v>
      </c>
      <c r="B599">
        <f>YEAR(#REF!)</f>
        <v>2017</v>
      </c>
      <c r="C599" t="s">
        <v>509</v>
      </c>
      <c r="D599" s="1">
        <v>42844</v>
      </c>
      <c r="E599" t="s">
        <v>39</v>
      </c>
      <c r="F599" t="s">
        <v>76</v>
      </c>
      <c r="H599" t="s">
        <v>39</v>
      </c>
      <c r="I599" t="s">
        <v>77</v>
      </c>
      <c r="J599" t="s">
        <v>78</v>
      </c>
      <c r="K599" t="s">
        <v>39</v>
      </c>
      <c r="L599" t="s">
        <v>143</v>
      </c>
      <c r="M599" t="s">
        <v>164</v>
      </c>
      <c r="N599" t="s">
        <v>145</v>
      </c>
    </row>
    <row r="600" spans="1:14" x14ac:dyDescent="0.2">
      <c r="A600">
        <v>1082612</v>
      </c>
      <c r="B600">
        <f>YEAR(#REF!)</f>
        <v>2017</v>
      </c>
      <c r="C600" t="s">
        <v>509</v>
      </c>
      <c r="D600" s="1">
        <v>42845</v>
      </c>
      <c r="E600" t="s">
        <v>33</v>
      </c>
      <c r="F600" t="s">
        <v>24</v>
      </c>
      <c r="H600" t="s">
        <v>24</v>
      </c>
      <c r="I600" t="s">
        <v>89</v>
      </c>
      <c r="J600" t="s">
        <v>78</v>
      </c>
      <c r="K600" t="s">
        <v>24</v>
      </c>
      <c r="L600" t="s">
        <v>247</v>
      </c>
      <c r="M600" t="s">
        <v>304</v>
      </c>
      <c r="N600" t="s">
        <v>305</v>
      </c>
    </row>
    <row r="601" spans="1:14" x14ac:dyDescent="0.2">
      <c r="A601">
        <v>1082613</v>
      </c>
      <c r="B601">
        <f>YEAR(#REF!)</f>
        <v>2017</v>
      </c>
      <c r="C601" t="s">
        <v>509</v>
      </c>
      <c r="D601" s="1">
        <v>42846</v>
      </c>
      <c r="E601" t="s">
        <v>29</v>
      </c>
      <c r="F601" t="s">
        <v>121</v>
      </c>
      <c r="H601" t="s">
        <v>121</v>
      </c>
      <c r="I601" t="s">
        <v>89</v>
      </c>
      <c r="J601" t="s">
        <v>78</v>
      </c>
      <c r="K601" t="s">
        <v>121</v>
      </c>
      <c r="L601" t="s">
        <v>259</v>
      </c>
      <c r="M601" t="s">
        <v>134</v>
      </c>
      <c r="N601" t="s">
        <v>135</v>
      </c>
    </row>
    <row r="602" spans="1:14" x14ac:dyDescent="0.2">
      <c r="A602">
        <v>1082614</v>
      </c>
      <c r="B602">
        <f>YEAR(#REF!)</f>
        <v>2017</v>
      </c>
      <c r="C602" t="s">
        <v>509</v>
      </c>
      <c r="D602" s="1">
        <v>42847</v>
      </c>
      <c r="E602" t="s">
        <v>24</v>
      </c>
      <c r="F602" t="s">
        <v>76</v>
      </c>
      <c r="H602" t="s">
        <v>76</v>
      </c>
      <c r="I602" t="s">
        <v>89</v>
      </c>
      <c r="J602" t="s">
        <v>78</v>
      </c>
      <c r="K602" t="s">
        <v>24</v>
      </c>
      <c r="L602" t="s">
        <v>327</v>
      </c>
      <c r="M602" t="s">
        <v>97</v>
      </c>
      <c r="N602" t="s">
        <v>92</v>
      </c>
    </row>
    <row r="603" spans="1:14" x14ac:dyDescent="0.2">
      <c r="A603">
        <v>1082615</v>
      </c>
      <c r="B603">
        <f>YEAR(#REF!)</f>
        <v>2017</v>
      </c>
      <c r="C603" t="s">
        <v>509</v>
      </c>
      <c r="D603" s="1">
        <v>42847</v>
      </c>
      <c r="E603" t="s">
        <v>42</v>
      </c>
      <c r="F603" t="s">
        <v>39</v>
      </c>
      <c r="H603" t="s">
        <v>42</v>
      </c>
      <c r="I603" t="s">
        <v>89</v>
      </c>
      <c r="J603" t="s">
        <v>78</v>
      </c>
      <c r="K603" t="s">
        <v>42</v>
      </c>
      <c r="L603" t="s">
        <v>119</v>
      </c>
      <c r="M603" t="s">
        <v>255</v>
      </c>
      <c r="N603" t="s">
        <v>163</v>
      </c>
    </row>
    <row r="604" spans="1:14" x14ac:dyDescent="0.2">
      <c r="A604">
        <v>1082617</v>
      </c>
      <c r="B604">
        <f>YEAR(#REF!)</f>
        <v>2017</v>
      </c>
      <c r="C604" t="s">
        <v>509</v>
      </c>
      <c r="D604" s="1">
        <v>42848</v>
      </c>
      <c r="E604" t="s">
        <v>29</v>
      </c>
      <c r="F604" t="s">
        <v>20</v>
      </c>
      <c r="H604" t="s">
        <v>20</v>
      </c>
      <c r="I604" t="s">
        <v>89</v>
      </c>
      <c r="J604" t="s">
        <v>78</v>
      </c>
      <c r="K604" t="s">
        <v>29</v>
      </c>
      <c r="L604" t="s">
        <v>221</v>
      </c>
      <c r="M604" t="s">
        <v>134</v>
      </c>
      <c r="N604" t="s">
        <v>135</v>
      </c>
    </row>
    <row r="605" spans="1:14" x14ac:dyDescent="0.2">
      <c r="A605">
        <v>1082616</v>
      </c>
      <c r="B605">
        <f>YEAR(#REF!)</f>
        <v>2017</v>
      </c>
      <c r="C605" t="s">
        <v>509</v>
      </c>
      <c r="D605" s="1">
        <v>42848</v>
      </c>
      <c r="E605" t="s">
        <v>121</v>
      </c>
      <c r="F605" t="s">
        <v>33</v>
      </c>
      <c r="H605" t="s">
        <v>121</v>
      </c>
      <c r="I605" t="s">
        <v>89</v>
      </c>
      <c r="J605" t="s">
        <v>78</v>
      </c>
      <c r="K605" t="s">
        <v>33</v>
      </c>
      <c r="L605" t="s">
        <v>443</v>
      </c>
      <c r="M605" t="s">
        <v>138</v>
      </c>
      <c r="N605" t="s">
        <v>139</v>
      </c>
    </row>
    <row r="606" spans="1:14" x14ac:dyDescent="0.2">
      <c r="A606">
        <v>1082618</v>
      </c>
      <c r="B606">
        <f>YEAR(#REF!)</f>
        <v>2017</v>
      </c>
      <c r="C606" t="s">
        <v>509</v>
      </c>
      <c r="D606" s="1">
        <v>42849</v>
      </c>
      <c r="E606" t="s">
        <v>24</v>
      </c>
      <c r="F606" t="s">
        <v>42</v>
      </c>
      <c r="H606" t="s">
        <v>24</v>
      </c>
      <c r="I606" t="s">
        <v>89</v>
      </c>
      <c r="J606" t="s">
        <v>78</v>
      </c>
      <c r="K606" t="s">
        <v>42</v>
      </c>
      <c r="L606" t="s">
        <v>131</v>
      </c>
      <c r="M606" t="s">
        <v>97</v>
      </c>
      <c r="N606" t="s">
        <v>92</v>
      </c>
    </row>
    <row r="607" spans="1:14" x14ac:dyDescent="0.2">
      <c r="A607">
        <v>1082620</v>
      </c>
      <c r="B607">
        <f>YEAR(#REF!)</f>
        <v>2017</v>
      </c>
      <c r="C607" t="s">
        <v>509</v>
      </c>
      <c r="D607" s="1">
        <v>42851</v>
      </c>
      <c r="E607" t="s">
        <v>42</v>
      </c>
      <c r="F607" t="s">
        <v>29</v>
      </c>
      <c r="H607" t="s">
        <v>29</v>
      </c>
      <c r="I607" t="s">
        <v>89</v>
      </c>
      <c r="J607" t="s">
        <v>78</v>
      </c>
      <c r="K607" t="s">
        <v>29</v>
      </c>
      <c r="L607" t="s">
        <v>192</v>
      </c>
      <c r="M607" t="s">
        <v>255</v>
      </c>
      <c r="N607" t="s">
        <v>163</v>
      </c>
    </row>
    <row r="608" spans="1:14" x14ac:dyDescent="0.2">
      <c r="A608">
        <v>1082621</v>
      </c>
      <c r="B608">
        <f>YEAR(#REF!)</f>
        <v>2017</v>
      </c>
      <c r="C608" t="s">
        <v>509</v>
      </c>
      <c r="D608" s="1">
        <v>42852</v>
      </c>
      <c r="E608" t="s">
        <v>20</v>
      </c>
      <c r="F608" t="s">
        <v>121</v>
      </c>
      <c r="H608" t="s">
        <v>121</v>
      </c>
      <c r="I608" t="s">
        <v>89</v>
      </c>
      <c r="J608" t="s">
        <v>78</v>
      </c>
      <c r="K608" t="s">
        <v>121</v>
      </c>
      <c r="L608" t="s">
        <v>361</v>
      </c>
      <c r="M608" t="s">
        <v>196</v>
      </c>
      <c r="N608" t="s">
        <v>197</v>
      </c>
    </row>
    <row r="609" spans="1:14" x14ac:dyDescent="0.2">
      <c r="A609">
        <v>1082622</v>
      </c>
      <c r="B609">
        <f>YEAR(#REF!)</f>
        <v>2017</v>
      </c>
      <c r="C609" t="s">
        <v>509</v>
      </c>
      <c r="D609" s="1">
        <v>42853</v>
      </c>
      <c r="E609" t="s">
        <v>29</v>
      </c>
      <c r="F609" t="s">
        <v>76</v>
      </c>
      <c r="H609" t="s">
        <v>29</v>
      </c>
      <c r="I609" t="s">
        <v>89</v>
      </c>
      <c r="J609" t="s">
        <v>78</v>
      </c>
      <c r="K609" t="s">
        <v>29</v>
      </c>
      <c r="L609" t="s">
        <v>141</v>
      </c>
      <c r="M609" t="s">
        <v>134</v>
      </c>
      <c r="N609" t="s">
        <v>135</v>
      </c>
    </row>
    <row r="610" spans="1:14" x14ac:dyDescent="0.2">
      <c r="A610">
        <v>1082623</v>
      </c>
      <c r="B610">
        <f>YEAR(#REF!)</f>
        <v>2017</v>
      </c>
      <c r="C610" t="s">
        <v>509</v>
      </c>
      <c r="D610" s="1">
        <v>42853</v>
      </c>
      <c r="E610" t="s">
        <v>33</v>
      </c>
      <c r="F610" t="s">
        <v>39</v>
      </c>
      <c r="H610" t="s">
        <v>33</v>
      </c>
      <c r="I610" t="s">
        <v>89</v>
      </c>
      <c r="J610" t="s">
        <v>78</v>
      </c>
      <c r="K610" t="s">
        <v>39</v>
      </c>
      <c r="L610" t="s">
        <v>296</v>
      </c>
      <c r="M610" t="s">
        <v>159</v>
      </c>
      <c r="N610" t="s">
        <v>95</v>
      </c>
    </row>
    <row r="611" spans="1:14" x14ac:dyDescent="0.2">
      <c r="A611">
        <v>1082624</v>
      </c>
      <c r="B611">
        <f>YEAR(#REF!)</f>
        <v>2017</v>
      </c>
      <c r="C611" t="s">
        <v>509</v>
      </c>
      <c r="D611" s="1">
        <v>42854</v>
      </c>
      <c r="E611" t="s">
        <v>42</v>
      </c>
      <c r="F611" t="s">
        <v>20</v>
      </c>
      <c r="H611" t="s">
        <v>20</v>
      </c>
      <c r="I611" t="s">
        <v>89</v>
      </c>
      <c r="J611" t="s">
        <v>78</v>
      </c>
      <c r="K611" t="s">
        <v>42</v>
      </c>
      <c r="L611" t="s">
        <v>254</v>
      </c>
      <c r="M611" t="s">
        <v>255</v>
      </c>
      <c r="N611" t="s">
        <v>163</v>
      </c>
    </row>
    <row r="612" spans="1:14" x14ac:dyDescent="0.2">
      <c r="A612">
        <v>1082625</v>
      </c>
      <c r="B612">
        <f>YEAR(#REF!)</f>
        <v>2017</v>
      </c>
      <c r="C612" t="s">
        <v>509</v>
      </c>
      <c r="D612" s="1">
        <v>42854</v>
      </c>
      <c r="E612" t="s">
        <v>121</v>
      </c>
      <c r="F612" t="s">
        <v>24</v>
      </c>
      <c r="H612" t="s">
        <v>121</v>
      </c>
      <c r="I612" t="s">
        <v>77</v>
      </c>
      <c r="J612" t="s">
        <v>310</v>
      </c>
      <c r="K612" t="s">
        <v>79</v>
      </c>
      <c r="L612" t="s">
        <v>148</v>
      </c>
      <c r="M612" t="s">
        <v>138</v>
      </c>
      <c r="N612" t="s">
        <v>139</v>
      </c>
    </row>
    <row r="613" spans="1:14" x14ac:dyDescent="0.2">
      <c r="A613">
        <v>1082626</v>
      </c>
      <c r="B613">
        <f>YEAR(#REF!)</f>
        <v>2017</v>
      </c>
      <c r="C613" t="s">
        <v>509</v>
      </c>
      <c r="D613" s="1">
        <v>42855</v>
      </c>
      <c r="E613" t="s">
        <v>33</v>
      </c>
      <c r="F613" t="s">
        <v>76</v>
      </c>
      <c r="H613" t="s">
        <v>33</v>
      </c>
      <c r="I613" t="s">
        <v>89</v>
      </c>
      <c r="J613" t="s">
        <v>78</v>
      </c>
      <c r="K613" t="s">
        <v>33</v>
      </c>
      <c r="L613" t="s">
        <v>83</v>
      </c>
      <c r="M613" t="s">
        <v>159</v>
      </c>
      <c r="N613" t="s">
        <v>95</v>
      </c>
    </row>
    <row r="614" spans="1:14" x14ac:dyDescent="0.2">
      <c r="A614">
        <v>1082627</v>
      </c>
      <c r="B614">
        <f>YEAR(#REF!)</f>
        <v>2017</v>
      </c>
      <c r="C614" t="s">
        <v>509</v>
      </c>
      <c r="D614" s="1">
        <v>42855</v>
      </c>
      <c r="E614" t="s">
        <v>39</v>
      </c>
      <c r="F614" t="s">
        <v>29</v>
      </c>
      <c r="H614" t="s">
        <v>29</v>
      </c>
      <c r="I614" t="s">
        <v>89</v>
      </c>
      <c r="J614" t="s">
        <v>78</v>
      </c>
      <c r="K614" t="s">
        <v>39</v>
      </c>
      <c r="L614" t="s">
        <v>80</v>
      </c>
      <c r="M614" t="s">
        <v>164</v>
      </c>
      <c r="N614" t="s">
        <v>145</v>
      </c>
    </row>
    <row r="615" spans="1:14" x14ac:dyDescent="0.2">
      <c r="A615">
        <v>1082629</v>
      </c>
      <c r="B615">
        <f>YEAR(#REF!)</f>
        <v>2017</v>
      </c>
      <c r="C615" t="s">
        <v>509</v>
      </c>
      <c r="D615" s="1">
        <v>42856</v>
      </c>
      <c r="E615" t="s">
        <v>42</v>
      </c>
      <c r="F615" t="s">
        <v>121</v>
      </c>
      <c r="H615" t="s">
        <v>42</v>
      </c>
      <c r="I615" t="s">
        <v>89</v>
      </c>
      <c r="J615" t="s">
        <v>78</v>
      </c>
      <c r="K615" t="s">
        <v>42</v>
      </c>
      <c r="L615" t="s">
        <v>131</v>
      </c>
      <c r="M615" t="s">
        <v>255</v>
      </c>
      <c r="N615" t="s">
        <v>163</v>
      </c>
    </row>
    <row r="616" spans="1:14" x14ac:dyDescent="0.2">
      <c r="A616">
        <v>1082628</v>
      </c>
      <c r="B616">
        <f>YEAR(#REF!)</f>
        <v>2017</v>
      </c>
      <c r="C616" t="s">
        <v>509</v>
      </c>
      <c r="D616" s="1">
        <v>42856</v>
      </c>
      <c r="E616" t="s">
        <v>24</v>
      </c>
      <c r="F616" t="s">
        <v>20</v>
      </c>
      <c r="H616" t="s">
        <v>20</v>
      </c>
      <c r="I616" t="s">
        <v>77</v>
      </c>
      <c r="J616" t="s">
        <v>78</v>
      </c>
      <c r="K616" t="s">
        <v>24</v>
      </c>
      <c r="L616" t="s">
        <v>96</v>
      </c>
      <c r="M616" t="s">
        <v>97</v>
      </c>
      <c r="N616" t="s">
        <v>92</v>
      </c>
    </row>
    <row r="617" spans="1:14" x14ac:dyDescent="0.2">
      <c r="A617">
        <v>1082630</v>
      </c>
      <c r="B617">
        <f>YEAR(#REF!)</f>
        <v>2017</v>
      </c>
      <c r="C617" t="s">
        <v>509</v>
      </c>
      <c r="D617" s="1">
        <v>42857</v>
      </c>
      <c r="E617" t="s">
        <v>76</v>
      </c>
      <c r="F617" t="s">
        <v>39</v>
      </c>
      <c r="H617" t="s">
        <v>76</v>
      </c>
      <c r="I617" t="s">
        <v>89</v>
      </c>
      <c r="J617" t="s">
        <v>78</v>
      </c>
      <c r="K617" t="s">
        <v>76</v>
      </c>
      <c r="L617" t="s">
        <v>60</v>
      </c>
      <c r="M617" t="s">
        <v>87</v>
      </c>
      <c r="N617" t="s">
        <v>88</v>
      </c>
    </row>
    <row r="618" spans="1:14" x14ac:dyDescent="0.2">
      <c r="A618">
        <v>1082631</v>
      </c>
      <c r="B618">
        <f>YEAR(#REF!)</f>
        <v>2017</v>
      </c>
      <c r="C618" t="s">
        <v>509</v>
      </c>
      <c r="D618" s="1">
        <v>42858</v>
      </c>
      <c r="E618" t="s">
        <v>29</v>
      </c>
      <c r="F618" t="s">
        <v>42</v>
      </c>
      <c r="H618" t="s">
        <v>42</v>
      </c>
      <c r="I618" t="s">
        <v>89</v>
      </c>
      <c r="J618" t="s">
        <v>78</v>
      </c>
      <c r="K618" t="s">
        <v>42</v>
      </c>
      <c r="L618" t="s">
        <v>375</v>
      </c>
      <c r="M618" t="s">
        <v>134</v>
      </c>
      <c r="N618" t="s">
        <v>135</v>
      </c>
    </row>
    <row r="619" spans="1:14" x14ac:dyDescent="0.2">
      <c r="A619">
        <v>1082632</v>
      </c>
      <c r="B619">
        <f>YEAR(#REF!)</f>
        <v>2017</v>
      </c>
      <c r="C619" t="s">
        <v>509</v>
      </c>
      <c r="D619" s="1">
        <v>42859</v>
      </c>
      <c r="E619" t="s">
        <v>76</v>
      </c>
      <c r="F619" t="s">
        <v>121</v>
      </c>
      <c r="H619" t="s">
        <v>76</v>
      </c>
      <c r="I619" t="s">
        <v>89</v>
      </c>
      <c r="J619" t="s">
        <v>78</v>
      </c>
      <c r="K619" t="s">
        <v>76</v>
      </c>
      <c r="L619" t="s">
        <v>183</v>
      </c>
      <c r="M619" t="s">
        <v>87</v>
      </c>
      <c r="N619" t="s">
        <v>88</v>
      </c>
    </row>
    <row r="620" spans="1:14" x14ac:dyDescent="0.2">
      <c r="A620">
        <v>1082633</v>
      </c>
      <c r="B620">
        <f>YEAR(#REF!)</f>
        <v>2017</v>
      </c>
      <c r="C620" t="s">
        <v>509</v>
      </c>
      <c r="D620" s="1">
        <v>42860</v>
      </c>
      <c r="E620" t="s">
        <v>20</v>
      </c>
      <c r="F620" t="s">
        <v>33</v>
      </c>
      <c r="H620" t="s">
        <v>20</v>
      </c>
      <c r="I620" t="s">
        <v>89</v>
      </c>
      <c r="J620" t="s">
        <v>78</v>
      </c>
      <c r="K620" t="s">
        <v>33</v>
      </c>
      <c r="L620" t="s">
        <v>83</v>
      </c>
      <c r="M620" t="s">
        <v>196</v>
      </c>
      <c r="N620" t="s">
        <v>197</v>
      </c>
    </row>
    <row r="621" spans="1:14" x14ac:dyDescent="0.2">
      <c r="A621">
        <v>1082635</v>
      </c>
      <c r="B621">
        <f>YEAR(#REF!)</f>
        <v>2017</v>
      </c>
      <c r="C621" t="s">
        <v>509</v>
      </c>
      <c r="D621" s="1">
        <v>42861</v>
      </c>
      <c r="E621" t="s">
        <v>76</v>
      </c>
      <c r="F621" t="s">
        <v>24</v>
      </c>
      <c r="H621" t="s">
        <v>76</v>
      </c>
      <c r="I621" t="s">
        <v>89</v>
      </c>
      <c r="J621" t="s">
        <v>78</v>
      </c>
      <c r="K621" t="s">
        <v>24</v>
      </c>
      <c r="L621" t="s">
        <v>419</v>
      </c>
      <c r="M621" t="s">
        <v>87</v>
      </c>
      <c r="N621" t="s">
        <v>88</v>
      </c>
    </row>
    <row r="622" spans="1:14" x14ac:dyDescent="0.2">
      <c r="A622">
        <v>1082634</v>
      </c>
      <c r="B622">
        <f>YEAR(#REF!)</f>
        <v>2017</v>
      </c>
      <c r="C622" t="s">
        <v>509</v>
      </c>
      <c r="D622" s="1">
        <v>42861</v>
      </c>
      <c r="E622" t="s">
        <v>39</v>
      </c>
      <c r="F622" t="s">
        <v>42</v>
      </c>
      <c r="H622" t="s">
        <v>39</v>
      </c>
      <c r="I622" t="s">
        <v>89</v>
      </c>
      <c r="J622" t="s">
        <v>78</v>
      </c>
      <c r="K622" t="s">
        <v>42</v>
      </c>
      <c r="L622" t="s">
        <v>186</v>
      </c>
      <c r="M622" t="s">
        <v>164</v>
      </c>
      <c r="N622" t="s">
        <v>145</v>
      </c>
    </row>
    <row r="623" spans="1:14" x14ac:dyDescent="0.2">
      <c r="A623">
        <v>1082637</v>
      </c>
      <c r="B623">
        <f>YEAR(#REF!)</f>
        <v>2017</v>
      </c>
      <c r="C623" t="s">
        <v>509</v>
      </c>
      <c r="D623" s="1">
        <v>42862</v>
      </c>
      <c r="E623" t="s">
        <v>33</v>
      </c>
      <c r="F623" t="s">
        <v>121</v>
      </c>
      <c r="H623" t="s">
        <v>121</v>
      </c>
      <c r="I623" t="s">
        <v>89</v>
      </c>
      <c r="J623" t="s">
        <v>78</v>
      </c>
      <c r="K623" t="s">
        <v>121</v>
      </c>
      <c r="L623" t="s">
        <v>158</v>
      </c>
      <c r="M623" t="s">
        <v>159</v>
      </c>
      <c r="N623" t="s">
        <v>95</v>
      </c>
    </row>
    <row r="624" spans="1:14" x14ac:dyDescent="0.2">
      <c r="A624">
        <v>1082636</v>
      </c>
      <c r="B624">
        <f>YEAR(#REF!)</f>
        <v>2017</v>
      </c>
      <c r="C624" t="s">
        <v>509</v>
      </c>
      <c r="D624" s="1">
        <v>42862</v>
      </c>
      <c r="E624" t="s">
        <v>20</v>
      </c>
      <c r="F624" t="s">
        <v>29</v>
      </c>
      <c r="H624" t="s">
        <v>29</v>
      </c>
      <c r="I624" t="s">
        <v>89</v>
      </c>
      <c r="J624" t="s">
        <v>78</v>
      </c>
      <c r="K624" t="s">
        <v>29</v>
      </c>
      <c r="L624" t="s">
        <v>133</v>
      </c>
      <c r="M624" t="s">
        <v>196</v>
      </c>
      <c r="N624" t="s">
        <v>197</v>
      </c>
    </row>
    <row r="625" spans="1:14" x14ac:dyDescent="0.2">
      <c r="A625">
        <v>1082638</v>
      </c>
      <c r="B625">
        <f>YEAR(#REF!)</f>
        <v>2017</v>
      </c>
      <c r="C625" t="s">
        <v>509</v>
      </c>
      <c r="D625" s="1">
        <v>42863</v>
      </c>
      <c r="E625" t="s">
        <v>39</v>
      </c>
      <c r="F625" t="s">
        <v>24</v>
      </c>
      <c r="H625" t="s">
        <v>24</v>
      </c>
      <c r="I625" t="s">
        <v>77</v>
      </c>
      <c r="J625" t="s">
        <v>78</v>
      </c>
      <c r="K625" t="s">
        <v>39</v>
      </c>
      <c r="L625" t="s">
        <v>90</v>
      </c>
      <c r="M625" t="s">
        <v>164</v>
      </c>
      <c r="N625" t="s">
        <v>145</v>
      </c>
    </row>
    <row r="626" spans="1:14" x14ac:dyDescent="0.2">
      <c r="A626">
        <v>1082639</v>
      </c>
      <c r="B626">
        <f>YEAR(#REF!)</f>
        <v>2017</v>
      </c>
      <c r="C626" t="s">
        <v>509</v>
      </c>
      <c r="D626" s="1">
        <v>42864</v>
      </c>
      <c r="E626" t="s">
        <v>33</v>
      </c>
      <c r="F626" t="s">
        <v>29</v>
      </c>
      <c r="H626" t="s">
        <v>29</v>
      </c>
      <c r="I626" t="s">
        <v>89</v>
      </c>
      <c r="J626" t="s">
        <v>78</v>
      </c>
      <c r="K626" t="s">
        <v>33</v>
      </c>
      <c r="L626" t="s">
        <v>313</v>
      </c>
      <c r="M626" t="s">
        <v>159</v>
      </c>
      <c r="N626" t="s">
        <v>95</v>
      </c>
    </row>
    <row r="627" spans="1:14" x14ac:dyDescent="0.2">
      <c r="A627">
        <v>1082640</v>
      </c>
      <c r="B627">
        <f>YEAR(#REF!)</f>
        <v>2017</v>
      </c>
      <c r="C627" t="s">
        <v>509</v>
      </c>
      <c r="D627" s="1">
        <v>42865</v>
      </c>
      <c r="E627" t="s">
        <v>121</v>
      </c>
      <c r="F627" t="s">
        <v>76</v>
      </c>
      <c r="H627" t="s">
        <v>76</v>
      </c>
      <c r="I627" t="s">
        <v>89</v>
      </c>
      <c r="J627" t="s">
        <v>78</v>
      </c>
      <c r="K627" t="s">
        <v>76</v>
      </c>
      <c r="L627" t="s">
        <v>128</v>
      </c>
      <c r="M627" t="s">
        <v>301</v>
      </c>
      <c r="N627" t="s">
        <v>302</v>
      </c>
    </row>
    <row r="628" spans="1:14" x14ac:dyDescent="0.2">
      <c r="A628">
        <v>1082641</v>
      </c>
      <c r="B628">
        <f>YEAR(#REF!)</f>
        <v>2017</v>
      </c>
      <c r="C628" t="s">
        <v>509</v>
      </c>
      <c r="D628" s="1">
        <v>42866</v>
      </c>
      <c r="E628" t="s">
        <v>24</v>
      </c>
      <c r="F628" t="s">
        <v>33</v>
      </c>
      <c r="H628" t="s">
        <v>24</v>
      </c>
      <c r="I628" t="s">
        <v>89</v>
      </c>
      <c r="J628" t="s">
        <v>78</v>
      </c>
      <c r="K628" t="s">
        <v>33</v>
      </c>
      <c r="L628" t="s">
        <v>330</v>
      </c>
      <c r="M628" t="s">
        <v>97</v>
      </c>
      <c r="N628" t="s">
        <v>92</v>
      </c>
    </row>
    <row r="629" spans="1:14" x14ac:dyDescent="0.2">
      <c r="A629">
        <v>1082642</v>
      </c>
      <c r="B629">
        <f>YEAR(#REF!)</f>
        <v>2017</v>
      </c>
      <c r="C629" t="s">
        <v>509</v>
      </c>
      <c r="D629" s="1">
        <v>42867</v>
      </c>
      <c r="E629" t="s">
        <v>76</v>
      </c>
      <c r="F629" t="s">
        <v>42</v>
      </c>
      <c r="H629" t="s">
        <v>76</v>
      </c>
      <c r="I629" t="s">
        <v>77</v>
      </c>
      <c r="J629" t="s">
        <v>78</v>
      </c>
      <c r="K629" t="s">
        <v>76</v>
      </c>
      <c r="L629" t="s">
        <v>222</v>
      </c>
      <c r="M629" t="s">
        <v>87</v>
      </c>
      <c r="N629" t="s">
        <v>88</v>
      </c>
    </row>
    <row r="630" spans="1:14" x14ac:dyDescent="0.2">
      <c r="A630">
        <v>1082643</v>
      </c>
      <c r="B630">
        <f>YEAR(#REF!)</f>
        <v>2017</v>
      </c>
      <c r="C630" t="s">
        <v>509</v>
      </c>
      <c r="D630" s="1">
        <v>42868</v>
      </c>
      <c r="E630" t="s">
        <v>121</v>
      </c>
      <c r="F630" t="s">
        <v>39</v>
      </c>
      <c r="H630" t="s">
        <v>39</v>
      </c>
      <c r="I630" t="s">
        <v>89</v>
      </c>
      <c r="J630" t="s">
        <v>78</v>
      </c>
      <c r="K630" t="s">
        <v>39</v>
      </c>
      <c r="L630" t="s">
        <v>329</v>
      </c>
      <c r="M630" t="s">
        <v>301</v>
      </c>
      <c r="N630" t="s">
        <v>302</v>
      </c>
    </row>
    <row r="631" spans="1:14" x14ac:dyDescent="0.2">
      <c r="A631">
        <v>1082644</v>
      </c>
      <c r="B631">
        <f>YEAR(#REF!)</f>
        <v>2017</v>
      </c>
      <c r="C631" t="s">
        <v>509</v>
      </c>
      <c r="D631" s="1">
        <v>42868</v>
      </c>
      <c r="E631" t="s">
        <v>29</v>
      </c>
      <c r="F631" t="s">
        <v>24</v>
      </c>
      <c r="H631" t="s">
        <v>29</v>
      </c>
      <c r="I631" t="s">
        <v>89</v>
      </c>
      <c r="J631" t="s">
        <v>78</v>
      </c>
      <c r="K631" t="s">
        <v>24</v>
      </c>
      <c r="L631" t="s">
        <v>231</v>
      </c>
      <c r="M631" t="s">
        <v>134</v>
      </c>
      <c r="N631" t="s">
        <v>135</v>
      </c>
    </row>
    <row r="632" spans="1:14" x14ac:dyDescent="0.2">
      <c r="A632">
        <v>1082646</v>
      </c>
      <c r="B632">
        <f>YEAR(#REF!)</f>
        <v>2017</v>
      </c>
      <c r="C632" t="s">
        <v>509</v>
      </c>
      <c r="D632" s="1">
        <v>42869</v>
      </c>
      <c r="E632" t="s">
        <v>76</v>
      </c>
      <c r="F632" t="s">
        <v>20</v>
      </c>
      <c r="H632" t="s">
        <v>20</v>
      </c>
      <c r="I632" t="s">
        <v>77</v>
      </c>
      <c r="J632" t="s">
        <v>78</v>
      </c>
      <c r="K632" t="s">
        <v>20</v>
      </c>
      <c r="L632" t="s">
        <v>339</v>
      </c>
      <c r="M632" t="s">
        <v>87</v>
      </c>
      <c r="N632" t="s">
        <v>88</v>
      </c>
    </row>
    <row r="633" spans="1:14" x14ac:dyDescent="0.2">
      <c r="A633">
        <v>1082645</v>
      </c>
      <c r="B633">
        <f>YEAR(#REF!)</f>
        <v>2017</v>
      </c>
      <c r="C633" t="s">
        <v>509</v>
      </c>
      <c r="D633" s="1">
        <v>42869</v>
      </c>
      <c r="E633" t="s">
        <v>42</v>
      </c>
      <c r="F633" t="s">
        <v>33</v>
      </c>
      <c r="H633" t="s">
        <v>42</v>
      </c>
      <c r="I633" t="s">
        <v>89</v>
      </c>
      <c r="J633" t="s">
        <v>78</v>
      </c>
      <c r="K633" t="s">
        <v>42</v>
      </c>
      <c r="L633" t="s">
        <v>186</v>
      </c>
      <c r="M633" t="s">
        <v>255</v>
      </c>
      <c r="N633" t="s">
        <v>163</v>
      </c>
    </row>
    <row r="634" spans="1:14" x14ac:dyDescent="0.2">
      <c r="A634">
        <v>1082647</v>
      </c>
      <c r="B634">
        <f>YEAR(#REF!)</f>
        <v>2017</v>
      </c>
      <c r="C634" t="s">
        <v>509</v>
      </c>
      <c r="D634" s="1">
        <v>42871</v>
      </c>
      <c r="E634" t="s">
        <v>24</v>
      </c>
      <c r="F634" t="s">
        <v>42</v>
      </c>
      <c r="H634" t="s">
        <v>24</v>
      </c>
      <c r="I634" t="s">
        <v>89</v>
      </c>
      <c r="J634" t="s">
        <v>78</v>
      </c>
      <c r="K634" t="s">
        <v>42</v>
      </c>
      <c r="L634" t="s">
        <v>260</v>
      </c>
      <c r="M634" t="s">
        <v>97</v>
      </c>
      <c r="N634" t="s">
        <v>92</v>
      </c>
    </row>
    <row r="635" spans="1:14" x14ac:dyDescent="0.2">
      <c r="A635">
        <v>1082648</v>
      </c>
      <c r="B635">
        <f>YEAR(#REF!)</f>
        <v>2017</v>
      </c>
      <c r="C635" t="s">
        <v>509</v>
      </c>
      <c r="D635" s="1">
        <v>42872</v>
      </c>
      <c r="E635" t="s">
        <v>39</v>
      </c>
      <c r="F635" t="s">
        <v>29</v>
      </c>
      <c r="H635" t="s">
        <v>29</v>
      </c>
      <c r="I635" t="s">
        <v>89</v>
      </c>
      <c r="J635" t="s">
        <v>78</v>
      </c>
      <c r="K635" t="s">
        <v>29</v>
      </c>
      <c r="L635" t="s">
        <v>221</v>
      </c>
      <c r="M635" t="s">
        <v>196</v>
      </c>
      <c r="N635" t="s">
        <v>197</v>
      </c>
    </row>
    <row r="636" spans="1:14" x14ac:dyDescent="0.2">
      <c r="A636">
        <v>1082649</v>
      </c>
      <c r="B636">
        <f>YEAR(#REF!)</f>
        <v>2017</v>
      </c>
      <c r="C636" t="s">
        <v>509</v>
      </c>
      <c r="D636" s="1">
        <v>42874</v>
      </c>
      <c r="E636" t="s">
        <v>24</v>
      </c>
      <c r="F636" t="s">
        <v>29</v>
      </c>
      <c r="H636" t="s">
        <v>24</v>
      </c>
      <c r="I636" t="s">
        <v>89</v>
      </c>
      <c r="J636" t="s">
        <v>78</v>
      </c>
      <c r="K636" t="s">
        <v>24</v>
      </c>
      <c r="L636" t="s">
        <v>300</v>
      </c>
      <c r="M636" t="s">
        <v>196</v>
      </c>
      <c r="N636" t="s">
        <v>197</v>
      </c>
    </row>
    <row r="637" spans="1:14" x14ac:dyDescent="0.2">
      <c r="A637">
        <v>1082650</v>
      </c>
      <c r="B637">
        <f>YEAR(#REF!)</f>
        <v>2017</v>
      </c>
      <c r="C637" t="s">
        <v>509</v>
      </c>
      <c r="D637" s="1">
        <v>42876</v>
      </c>
      <c r="E637" t="s">
        <v>24</v>
      </c>
      <c r="F637" t="s">
        <v>42</v>
      </c>
      <c r="H637" t="s">
        <v>24</v>
      </c>
      <c r="I637" t="s">
        <v>77</v>
      </c>
      <c r="J637" t="s">
        <v>78</v>
      </c>
      <c r="K637" t="s">
        <v>24</v>
      </c>
      <c r="L637" t="s">
        <v>148</v>
      </c>
      <c r="M637" t="s">
        <v>164</v>
      </c>
      <c r="N637" t="s">
        <v>145</v>
      </c>
    </row>
    <row r="638" spans="1:14" x14ac:dyDescent="0.2">
      <c r="A638">
        <v>1136561</v>
      </c>
      <c r="B638">
        <f>YEAR(#REF!)</f>
        <v>2018</v>
      </c>
      <c r="C638" t="s">
        <v>510</v>
      </c>
      <c r="D638" s="1">
        <v>43197</v>
      </c>
      <c r="E638" t="s">
        <v>24</v>
      </c>
      <c r="F638" t="s">
        <v>15</v>
      </c>
      <c r="H638" t="s">
        <v>15</v>
      </c>
      <c r="I638" t="s">
        <v>89</v>
      </c>
      <c r="J638" t="s">
        <v>78</v>
      </c>
      <c r="K638" t="s">
        <v>15</v>
      </c>
      <c r="L638" t="s">
        <v>368</v>
      </c>
      <c r="M638" t="s">
        <v>97</v>
      </c>
      <c r="N638" t="s">
        <v>92</v>
      </c>
    </row>
    <row r="639" spans="1:14" x14ac:dyDescent="0.2">
      <c r="A639">
        <v>1136563</v>
      </c>
      <c r="B639">
        <f>YEAR(#REF!)</f>
        <v>2018</v>
      </c>
      <c r="C639" t="s">
        <v>510</v>
      </c>
      <c r="D639" s="1">
        <v>43198</v>
      </c>
      <c r="E639" t="s">
        <v>20</v>
      </c>
      <c r="F639" t="s">
        <v>29</v>
      </c>
      <c r="H639" t="s">
        <v>29</v>
      </c>
      <c r="I639" t="s">
        <v>89</v>
      </c>
      <c r="J639" t="s">
        <v>78</v>
      </c>
      <c r="K639" t="s">
        <v>29</v>
      </c>
      <c r="L639" t="s">
        <v>133</v>
      </c>
      <c r="M639" t="s">
        <v>134</v>
      </c>
      <c r="N639" t="s">
        <v>135</v>
      </c>
    </row>
    <row r="640" spans="1:14" x14ac:dyDescent="0.2">
      <c r="A640">
        <v>1136562</v>
      </c>
      <c r="B640">
        <f>YEAR(#REF!)</f>
        <v>2018</v>
      </c>
      <c r="C640" t="s">
        <v>510</v>
      </c>
      <c r="D640" s="1">
        <v>43198</v>
      </c>
      <c r="E640" t="s">
        <v>76</v>
      </c>
      <c r="F640" t="s">
        <v>33</v>
      </c>
      <c r="H640" t="s">
        <v>33</v>
      </c>
      <c r="I640" t="s">
        <v>89</v>
      </c>
      <c r="J640" t="s">
        <v>78</v>
      </c>
      <c r="K640" t="s">
        <v>33</v>
      </c>
      <c r="L640" t="s">
        <v>50</v>
      </c>
      <c r="M640" t="s">
        <v>94</v>
      </c>
      <c r="N640" t="s">
        <v>95</v>
      </c>
    </row>
    <row r="641" spans="1:14" x14ac:dyDescent="0.2">
      <c r="A641">
        <v>1136564</v>
      </c>
      <c r="B641">
        <f>YEAR(#REF!)</f>
        <v>2018</v>
      </c>
      <c r="C641" t="s">
        <v>510</v>
      </c>
      <c r="D641" s="1">
        <v>43199</v>
      </c>
      <c r="E641" t="s">
        <v>14</v>
      </c>
      <c r="F641" t="s">
        <v>39</v>
      </c>
      <c r="H641" t="s">
        <v>39</v>
      </c>
      <c r="I641" t="s">
        <v>89</v>
      </c>
      <c r="J641" t="s">
        <v>78</v>
      </c>
      <c r="K641" t="s">
        <v>39</v>
      </c>
      <c r="L641" t="s">
        <v>90</v>
      </c>
      <c r="M641" t="s">
        <v>144</v>
      </c>
      <c r="N641" t="s">
        <v>145</v>
      </c>
    </row>
    <row r="642" spans="1:14" x14ac:dyDescent="0.2">
      <c r="A642">
        <v>1136565</v>
      </c>
      <c r="B642">
        <f>YEAR(#REF!)</f>
        <v>2018</v>
      </c>
      <c r="C642" t="s">
        <v>510</v>
      </c>
      <c r="D642" s="1">
        <v>43200</v>
      </c>
      <c r="E642" t="s">
        <v>29</v>
      </c>
      <c r="F642" t="s">
        <v>15</v>
      </c>
      <c r="H642" t="s">
        <v>15</v>
      </c>
      <c r="I642" t="s">
        <v>89</v>
      </c>
      <c r="J642" t="s">
        <v>78</v>
      </c>
      <c r="K642" t="s">
        <v>15</v>
      </c>
      <c r="L642" t="s">
        <v>269</v>
      </c>
      <c r="M642" t="s">
        <v>252</v>
      </c>
      <c r="N642" t="s">
        <v>107</v>
      </c>
    </row>
    <row r="643" spans="1:14" x14ac:dyDescent="0.2">
      <c r="A643">
        <v>1136566</v>
      </c>
      <c r="B643">
        <f>YEAR(#REF!)</f>
        <v>2018</v>
      </c>
      <c r="C643" t="s">
        <v>510</v>
      </c>
      <c r="D643" s="1">
        <v>43201</v>
      </c>
      <c r="E643" t="s">
        <v>14</v>
      </c>
      <c r="F643" t="s">
        <v>76</v>
      </c>
      <c r="H643" t="s">
        <v>76</v>
      </c>
      <c r="I643" t="s">
        <v>89</v>
      </c>
      <c r="J643" t="s">
        <v>78</v>
      </c>
      <c r="K643" t="s">
        <v>14</v>
      </c>
      <c r="L643" t="s">
        <v>187</v>
      </c>
      <c r="M643" t="s">
        <v>153</v>
      </c>
      <c r="N643" t="s">
        <v>85</v>
      </c>
    </row>
    <row r="644" spans="1:14" x14ac:dyDescent="0.2">
      <c r="A644">
        <v>1136567</v>
      </c>
      <c r="B644">
        <f>YEAR(#REF!)</f>
        <v>2018</v>
      </c>
      <c r="C644" t="s">
        <v>510</v>
      </c>
      <c r="D644" s="1">
        <v>43202</v>
      </c>
      <c r="E644" t="s">
        <v>24</v>
      </c>
      <c r="F644" t="s">
        <v>39</v>
      </c>
      <c r="H644" t="s">
        <v>39</v>
      </c>
      <c r="I644" t="s">
        <v>89</v>
      </c>
      <c r="J644" t="s">
        <v>78</v>
      </c>
      <c r="K644" t="s">
        <v>39</v>
      </c>
      <c r="L644" t="s">
        <v>296</v>
      </c>
      <c r="M644" t="s">
        <v>144</v>
      </c>
      <c r="N644" t="s">
        <v>145</v>
      </c>
    </row>
    <row r="645" spans="1:14" x14ac:dyDescent="0.2">
      <c r="A645">
        <v>1136568</v>
      </c>
      <c r="B645">
        <f>YEAR(#REF!)</f>
        <v>2018</v>
      </c>
      <c r="C645" t="s">
        <v>510</v>
      </c>
      <c r="D645" s="1">
        <v>43203</v>
      </c>
      <c r="E645" t="s">
        <v>33</v>
      </c>
      <c r="F645" t="s">
        <v>20</v>
      </c>
      <c r="H645" t="s">
        <v>20</v>
      </c>
      <c r="I645" t="s">
        <v>89</v>
      </c>
      <c r="J645" t="s">
        <v>78</v>
      </c>
      <c r="K645" t="s">
        <v>20</v>
      </c>
      <c r="L645" t="s">
        <v>240</v>
      </c>
      <c r="M645" t="s">
        <v>294</v>
      </c>
      <c r="N645" t="s">
        <v>243</v>
      </c>
    </row>
    <row r="646" spans="1:14" x14ac:dyDescent="0.2">
      <c r="A646">
        <v>1136570</v>
      </c>
      <c r="B646">
        <f>YEAR(#REF!)</f>
        <v>2018</v>
      </c>
      <c r="C646" t="s">
        <v>510</v>
      </c>
      <c r="D646" s="1">
        <v>43204</v>
      </c>
      <c r="E646" t="s">
        <v>29</v>
      </c>
      <c r="F646" t="s">
        <v>39</v>
      </c>
      <c r="H646" t="s">
        <v>39</v>
      </c>
      <c r="I646" t="s">
        <v>89</v>
      </c>
      <c r="J646" t="s">
        <v>78</v>
      </c>
      <c r="K646" t="s">
        <v>39</v>
      </c>
      <c r="L646" t="s">
        <v>391</v>
      </c>
      <c r="M646" t="s">
        <v>134</v>
      </c>
      <c r="N646" t="s">
        <v>135</v>
      </c>
    </row>
    <row r="647" spans="1:14" x14ac:dyDescent="0.2">
      <c r="A647">
        <v>1136569</v>
      </c>
      <c r="B647">
        <f>YEAR(#REF!)</f>
        <v>2018</v>
      </c>
      <c r="C647" t="s">
        <v>510</v>
      </c>
      <c r="D647" s="1">
        <v>43204</v>
      </c>
      <c r="E647" t="s">
        <v>24</v>
      </c>
      <c r="F647" t="s">
        <v>76</v>
      </c>
      <c r="H647" t="s">
        <v>76</v>
      </c>
      <c r="I647" t="s">
        <v>89</v>
      </c>
      <c r="J647" t="s">
        <v>78</v>
      </c>
      <c r="K647" t="s">
        <v>76</v>
      </c>
      <c r="L647" t="s">
        <v>433</v>
      </c>
      <c r="M647" t="s">
        <v>97</v>
      </c>
      <c r="N647" t="s">
        <v>92</v>
      </c>
    </row>
    <row r="648" spans="1:14" x14ac:dyDescent="0.2">
      <c r="A648">
        <v>1136572</v>
      </c>
      <c r="B648">
        <f>YEAR(#REF!)</f>
        <v>2018</v>
      </c>
      <c r="C648" t="s">
        <v>510</v>
      </c>
      <c r="D648" s="1">
        <v>43205</v>
      </c>
      <c r="E648" t="s">
        <v>33</v>
      </c>
      <c r="F648" t="s">
        <v>15</v>
      </c>
      <c r="H648" t="s">
        <v>15</v>
      </c>
      <c r="I648" t="s">
        <v>89</v>
      </c>
      <c r="J648" t="s">
        <v>78</v>
      </c>
      <c r="K648" t="s">
        <v>33</v>
      </c>
      <c r="L648" t="s">
        <v>214</v>
      </c>
      <c r="M648" t="s">
        <v>94</v>
      </c>
      <c r="N648" t="s">
        <v>95</v>
      </c>
    </row>
    <row r="649" spans="1:14" x14ac:dyDescent="0.2">
      <c r="A649">
        <v>1136571</v>
      </c>
      <c r="B649">
        <f>YEAR(#REF!)</f>
        <v>2018</v>
      </c>
      <c r="C649" t="s">
        <v>510</v>
      </c>
      <c r="D649" s="1">
        <v>43205</v>
      </c>
      <c r="E649" t="s">
        <v>14</v>
      </c>
      <c r="F649" t="s">
        <v>20</v>
      </c>
      <c r="H649" t="s">
        <v>20</v>
      </c>
      <c r="I649" t="s">
        <v>89</v>
      </c>
      <c r="J649" t="s">
        <v>78</v>
      </c>
      <c r="K649" t="s">
        <v>14</v>
      </c>
      <c r="L649" t="s">
        <v>187</v>
      </c>
      <c r="M649" t="s">
        <v>294</v>
      </c>
      <c r="N649" t="s">
        <v>243</v>
      </c>
    </row>
    <row r="650" spans="1:14" x14ac:dyDescent="0.2">
      <c r="A650">
        <v>1136573</v>
      </c>
      <c r="B650">
        <f>YEAR(#REF!)</f>
        <v>2018</v>
      </c>
      <c r="C650" t="s">
        <v>510</v>
      </c>
      <c r="D650" s="1">
        <v>43206</v>
      </c>
      <c r="E650" t="s">
        <v>29</v>
      </c>
      <c r="F650" t="s">
        <v>76</v>
      </c>
      <c r="H650" t="s">
        <v>76</v>
      </c>
      <c r="I650" t="s">
        <v>89</v>
      </c>
      <c r="J650" t="s">
        <v>78</v>
      </c>
      <c r="K650" t="s">
        <v>29</v>
      </c>
      <c r="L650" t="s">
        <v>122</v>
      </c>
      <c r="M650" t="s">
        <v>134</v>
      </c>
      <c r="N650" t="s">
        <v>135</v>
      </c>
    </row>
    <row r="651" spans="1:14" x14ac:dyDescent="0.2">
      <c r="A651">
        <v>1136574</v>
      </c>
      <c r="B651">
        <f>YEAR(#REF!)</f>
        <v>2018</v>
      </c>
      <c r="C651" t="s">
        <v>510</v>
      </c>
      <c r="D651" s="1">
        <v>43207</v>
      </c>
      <c r="E651" t="s">
        <v>24</v>
      </c>
      <c r="F651" t="s">
        <v>20</v>
      </c>
      <c r="H651" t="s">
        <v>20</v>
      </c>
      <c r="I651" t="s">
        <v>89</v>
      </c>
      <c r="J651" t="s">
        <v>78</v>
      </c>
      <c r="K651" t="s">
        <v>24</v>
      </c>
      <c r="L651" t="s">
        <v>96</v>
      </c>
      <c r="M651" t="s">
        <v>97</v>
      </c>
      <c r="N651" t="s">
        <v>92</v>
      </c>
    </row>
    <row r="652" spans="1:14" x14ac:dyDescent="0.2">
      <c r="A652">
        <v>1136575</v>
      </c>
      <c r="B652">
        <f>YEAR(#REF!)</f>
        <v>2018</v>
      </c>
      <c r="C652" t="s">
        <v>510</v>
      </c>
      <c r="D652" s="1">
        <v>43208</v>
      </c>
      <c r="E652" t="s">
        <v>14</v>
      </c>
      <c r="F652" t="s">
        <v>29</v>
      </c>
      <c r="H652" t="s">
        <v>29</v>
      </c>
      <c r="I652" t="s">
        <v>89</v>
      </c>
      <c r="J652" t="s">
        <v>78</v>
      </c>
      <c r="K652" t="s">
        <v>29</v>
      </c>
      <c r="L652" t="s">
        <v>122</v>
      </c>
      <c r="M652" t="s">
        <v>153</v>
      </c>
      <c r="N652" t="s">
        <v>85</v>
      </c>
    </row>
    <row r="653" spans="1:14" x14ac:dyDescent="0.2">
      <c r="A653">
        <v>1136576</v>
      </c>
      <c r="B653">
        <f>YEAR(#REF!)</f>
        <v>2018</v>
      </c>
      <c r="C653" t="s">
        <v>510</v>
      </c>
      <c r="D653" s="1">
        <v>43209</v>
      </c>
      <c r="E653" t="s">
        <v>33</v>
      </c>
      <c r="F653" t="s">
        <v>39</v>
      </c>
      <c r="H653" t="s">
        <v>33</v>
      </c>
      <c r="I653" t="s">
        <v>77</v>
      </c>
      <c r="J653" t="s">
        <v>78</v>
      </c>
      <c r="K653" t="s">
        <v>33</v>
      </c>
      <c r="L653" t="s">
        <v>214</v>
      </c>
      <c r="M653" t="s">
        <v>94</v>
      </c>
      <c r="N653" t="s">
        <v>95</v>
      </c>
    </row>
    <row r="654" spans="1:14" x14ac:dyDescent="0.2">
      <c r="A654">
        <v>1136577</v>
      </c>
      <c r="B654">
        <f>YEAR(#REF!)</f>
        <v>2018</v>
      </c>
      <c r="C654" t="s">
        <v>510</v>
      </c>
      <c r="D654" s="1">
        <v>43210</v>
      </c>
      <c r="E654" t="s">
        <v>15</v>
      </c>
      <c r="F654" t="s">
        <v>14</v>
      </c>
      <c r="H654" t="s">
        <v>14</v>
      </c>
      <c r="I654" t="s">
        <v>89</v>
      </c>
      <c r="J654" t="s">
        <v>78</v>
      </c>
      <c r="K654" t="s">
        <v>15</v>
      </c>
      <c r="L654" t="s">
        <v>166</v>
      </c>
      <c r="M654" t="s">
        <v>255</v>
      </c>
      <c r="N654" t="s">
        <v>163</v>
      </c>
    </row>
    <row r="655" spans="1:14" x14ac:dyDescent="0.2">
      <c r="A655">
        <v>1136579</v>
      </c>
      <c r="B655">
        <f>YEAR(#REF!)</f>
        <v>2018</v>
      </c>
      <c r="C655" t="s">
        <v>510</v>
      </c>
      <c r="D655" s="1">
        <v>43211</v>
      </c>
      <c r="E655" t="s">
        <v>76</v>
      </c>
      <c r="F655" t="s">
        <v>20</v>
      </c>
      <c r="H655" t="s">
        <v>20</v>
      </c>
      <c r="I655" t="s">
        <v>89</v>
      </c>
      <c r="J655" t="s">
        <v>78</v>
      </c>
      <c r="K655" t="s">
        <v>20</v>
      </c>
      <c r="L655" t="s">
        <v>38</v>
      </c>
      <c r="M655" t="s">
        <v>294</v>
      </c>
      <c r="N655" t="s">
        <v>243</v>
      </c>
    </row>
    <row r="656" spans="1:14" x14ac:dyDescent="0.2">
      <c r="A656">
        <v>1136578</v>
      </c>
      <c r="B656">
        <f>YEAR(#REF!)</f>
        <v>2018</v>
      </c>
      <c r="C656" t="s">
        <v>510</v>
      </c>
      <c r="D656" s="1">
        <v>43211</v>
      </c>
      <c r="E656" t="s">
        <v>29</v>
      </c>
      <c r="F656" t="s">
        <v>33</v>
      </c>
      <c r="H656" t="s">
        <v>33</v>
      </c>
      <c r="I656" t="s">
        <v>89</v>
      </c>
      <c r="J656" t="s">
        <v>78</v>
      </c>
      <c r="K656" t="s">
        <v>33</v>
      </c>
      <c r="L656" t="s">
        <v>50</v>
      </c>
      <c r="M656" t="s">
        <v>134</v>
      </c>
      <c r="N656" t="s">
        <v>135</v>
      </c>
    </row>
    <row r="657" spans="1:14" x14ac:dyDescent="0.2">
      <c r="A657">
        <v>1136581</v>
      </c>
      <c r="B657">
        <f>YEAR(#REF!)</f>
        <v>2018</v>
      </c>
      <c r="C657" t="s">
        <v>510</v>
      </c>
      <c r="D657" s="1">
        <v>43212</v>
      </c>
      <c r="E657" t="s">
        <v>24</v>
      </c>
      <c r="F657" t="s">
        <v>14</v>
      </c>
      <c r="H657" t="s">
        <v>24</v>
      </c>
      <c r="I657" t="s">
        <v>77</v>
      </c>
      <c r="J657" t="s">
        <v>78</v>
      </c>
      <c r="K657" t="s">
        <v>14</v>
      </c>
      <c r="L657" t="s">
        <v>445</v>
      </c>
      <c r="M657" t="s">
        <v>153</v>
      </c>
      <c r="N657" t="s">
        <v>85</v>
      </c>
    </row>
    <row r="658" spans="1:14" x14ac:dyDescent="0.2">
      <c r="A658">
        <v>1136580</v>
      </c>
      <c r="B658">
        <f>YEAR(#REF!)</f>
        <v>2018</v>
      </c>
      <c r="C658" t="s">
        <v>510</v>
      </c>
      <c r="D658" s="1">
        <v>43212</v>
      </c>
      <c r="E658" t="s">
        <v>15</v>
      </c>
      <c r="F658" t="s">
        <v>39</v>
      </c>
      <c r="H658" t="s">
        <v>39</v>
      </c>
      <c r="I658" t="s">
        <v>89</v>
      </c>
      <c r="J658" t="s">
        <v>78</v>
      </c>
      <c r="K658" t="s">
        <v>15</v>
      </c>
      <c r="L658" t="s">
        <v>231</v>
      </c>
      <c r="M658" t="s">
        <v>144</v>
      </c>
      <c r="N658" t="s">
        <v>145</v>
      </c>
    </row>
    <row r="659" spans="1:14" x14ac:dyDescent="0.2">
      <c r="A659">
        <v>1136582</v>
      </c>
      <c r="B659">
        <f>YEAR(#REF!)</f>
        <v>2018</v>
      </c>
      <c r="C659" t="s">
        <v>510</v>
      </c>
      <c r="D659" s="1">
        <v>43213</v>
      </c>
      <c r="E659" t="s">
        <v>33</v>
      </c>
      <c r="F659" t="s">
        <v>76</v>
      </c>
      <c r="H659" t="s">
        <v>76</v>
      </c>
      <c r="I659" t="s">
        <v>89</v>
      </c>
      <c r="J659" t="s">
        <v>78</v>
      </c>
      <c r="K659" t="s">
        <v>33</v>
      </c>
      <c r="L659" t="s">
        <v>291</v>
      </c>
      <c r="M659" t="s">
        <v>292</v>
      </c>
      <c r="N659" t="s">
        <v>88</v>
      </c>
    </row>
    <row r="660" spans="1:14" x14ac:dyDescent="0.2">
      <c r="A660">
        <v>1136583</v>
      </c>
      <c r="B660">
        <f>YEAR(#REF!)</f>
        <v>2018</v>
      </c>
      <c r="C660" t="s">
        <v>510</v>
      </c>
      <c r="D660" s="1">
        <v>43214</v>
      </c>
      <c r="E660" t="s">
        <v>39</v>
      </c>
      <c r="F660" t="s">
        <v>24</v>
      </c>
      <c r="H660" t="s">
        <v>24</v>
      </c>
      <c r="I660" t="s">
        <v>89</v>
      </c>
      <c r="J660" t="s">
        <v>78</v>
      </c>
      <c r="K660" t="s">
        <v>39</v>
      </c>
      <c r="L660" t="s">
        <v>296</v>
      </c>
      <c r="M660" t="s">
        <v>97</v>
      </c>
      <c r="N660" t="s">
        <v>92</v>
      </c>
    </row>
    <row r="661" spans="1:14" x14ac:dyDescent="0.2">
      <c r="A661">
        <v>1136584</v>
      </c>
      <c r="B661">
        <f>YEAR(#REF!)</f>
        <v>2018</v>
      </c>
      <c r="C661" t="s">
        <v>510</v>
      </c>
      <c r="D661" s="1">
        <v>43215</v>
      </c>
      <c r="E661" t="s">
        <v>20</v>
      </c>
      <c r="F661" t="s">
        <v>15</v>
      </c>
      <c r="H661" t="s">
        <v>15</v>
      </c>
      <c r="I661" t="s">
        <v>89</v>
      </c>
      <c r="J661" t="s">
        <v>78</v>
      </c>
      <c r="K661" t="s">
        <v>15</v>
      </c>
      <c r="L661" t="s">
        <v>119</v>
      </c>
      <c r="M661" t="s">
        <v>294</v>
      </c>
      <c r="N661" t="s">
        <v>243</v>
      </c>
    </row>
    <row r="662" spans="1:14" x14ac:dyDescent="0.2">
      <c r="A662">
        <v>1136585</v>
      </c>
      <c r="B662">
        <f>YEAR(#REF!)</f>
        <v>2018</v>
      </c>
      <c r="C662" t="s">
        <v>510</v>
      </c>
      <c r="D662" s="1">
        <v>43216</v>
      </c>
      <c r="E662" t="s">
        <v>39</v>
      </c>
      <c r="F662" t="s">
        <v>33</v>
      </c>
      <c r="H662" t="s">
        <v>33</v>
      </c>
      <c r="I662" t="s">
        <v>89</v>
      </c>
      <c r="J662" t="s">
        <v>78</v>
      </c>
      <c r="K662" t="s">
        <v>39</v>
      </c>
      <c r="L662" t="s">
        <v>291</v>
      </c>
      <c r="M662" t="s">
        <v>144</v>
      </c>
      <c r="N662" t="s">
        <v>145</v>
      </c>
    </row>
    <row r="663" spans="1:14" x14ac:dyDescent="0.2">
      <c r="A663">
        <v>1136586</v>
      </c>
      <c r="B663">
        <f>YEAR(#REF!)</f>
        <v>2018</v>
      </c>
      <c r="C663" t="s">
        <v>510</v>
      </c>
      <c r="D663" s="1">
        <v>43217</v>
      </c>
      <c r="E663" t="s">
        <v>76</v>
      </c>
      <c r="F663" t="s">
        <v>29</v>
      </c>
      <c r="H663" t="s">
        <v>29</v>
      </c>
      <c r="I663" t="s">
        <v>89</v>
      </c>
      <c r="J663" t="s">
        <v>78</v>
      </c>
      <c r="K663" t="s">
        <v>76</v>
      </c>
      <c r="L663" t="s">
        <v>128</v>
      </c>
      <c r="M663" t="s">
        <v>292</v>
      </c>
      <c r="N663" t="s">
        <v>88</v>
      </c>
    </row>
    <row r="664" spans="1:14" x14ac:dyDescent="0.2">
      <c r="A664">
        <v>1136587</v>
      </c>
      <c r="B664">
        <f>YEAR(#REF!)</f>
        <v>2018</v>
      </c>
      <c r="C664" t="s">
        <v>510</v>
      </c>
      <c r="D664" s="1">
        <v>43218</v>
      </c>
      <c r="E664" t="s">
        <v>15</v>
      </c>
      <c r="F664" t="s">
        <v>24</v>
      </c>
      <c r="H664" t="s">
        <v>24</v>
      </c>
      <c r="I664" t="s">
        <v>89</v>
      </c>
      <c r="J664" t="s">
        <v>78</v>
      </c>
      <c r="K664" t="s">
        <v>24</v>
      </c>
      <c r="L664" t="s">
        <v>96</v>
      </c>
      <c r="M664" t="s">
        <v>255</v>
      </c>
      <c r="N664" t="s">
        <v>163</v>
      </c>
    </row>
    <row r="665" spans="1:14" x14ac:dyDescent="0.2">
      <c r="A665">
        <v>1136588</v>
      </c>
      <c r="B665">
        <f>YEAR(#REF!)</f>
        <v>2018</v>
      </c>
      <c r="C665" t="s">
        <v>510</v>
      </c>
      <c r="D665" s="1">
        <v>43219</v>
      </c>
      <c r="E665" t="s">
        <v>39</v>
      </c>
      <c r="F665" t="s">
        <v>14</v>
      </c>
      <c r="H665" t="s">
        <v>39</v>
      </c>
      <c r="I665" t="s">
        <v>77</v>
      </c>
      <c r="J665" t="s">
        <v>78</v>
      </c>
      <c r="K665" t="s">
        <v>39</v>
      </c>
      <c r="L665" t="s">
        <v>143</v>
      </c>
      <c r="M665" t="s">
        <v>153</v>
      </c>
      <c r="N665" t="s">
        <v>85</v>
      </c>
    </row>
    <row r="666" spans="1:14" x14ac:dyDescent="0.2">
      <c r="A666">
        <v>1136589</v>
      </c>
      <c r="B666">
        <f>YEAR(#REF!)</f>
        <v>2018</v>
      </c>
      <c r="C666" t="s">
        <v>510</v>
      </c>
      <c r="D666" s="1">
        <v>43219</v>
      </c>
      <c r="E666" t="s">
        <v>20</v>
      </c>
      <c r="F666" t="s">
        <v>29</v>
      </c>
      <c r="H666" t="s">
        <v>29</v>
      </c>
      <c r="I666" t="s">
        <v>89</v>
      </c>
      <c r="J666" t="s">
        <v>78</v>
      </c>
      <c r="K666" t="s">
        <v>29</v>
      </c>
      <c r="L666" t="s">
        <v>434</v>
      </c>
      <c r="M666" t="s">
        <v>294</v>
      </c>
      <c r="N666" t="s">
        <v>243</v>
      </c>
    </row>
    <row r="667" spans="1:14" x14ac:dyDescent="0.2">
      <c r="A667">
        <v>1136590</v>
      </c>
      <c r="B667">
        <f>YEAR(#REF!)</f>
        <v>2018</v>
      </c>
      <c r="C667" t="s">
        <v>510</v>
      </c>
      <c r="D667" s="1">
        <v>43220</v>
      </c>
      <c r="E667" t="s">
        <v>15</v>
      </c>
      <c r="F667" t="s">
        <v>76</v>
      </c>
      <c r="H667" t="s">
        <v>76</v>
      </c>
      <c r="I667" t="s">
        <v>89</v>
      </c>
      <c r="J667" t="s">
        <v>78</v>
      </c>
      <c r="K667" t="s">
        <v>15</v>
      </c>
      <c r="L667" t="s">
        <v>166</v>
      </c>
      <c r="M667" t="s">
        <v>255</v>
      </c>
      <c r="N667" t="s">
        <v>163</v>
      </c>
    </row>
    <row r="668" spans="1:14" x14ac:dyDescent="0.2">
      <c r="A668">
        <v>1136591</v>
      </c>
      <c r="B668">
        <f>YEAR(#REF!)</f>
        <v>2018</v>
      </c>
      <c r="C668" t="s">
        <v>510</v>
      </c>
      <c r="D668" s="1">
        <v>43221</v>
      </c>
      <c r="E668" t="s">
        <v>20</v>
      </c>
      <c r="F668" t="s">
        <v>24</v>
      </c>
      <c r="H668" t="s">
        <v>24</v>
      </c>
      <c r="I668" t="s">
        <v>89</v>
      </c>
      <c r="J668" t="s">
        <v>78</v>
      </c>
      <c r="K668" t="s">
        <v>20</v>
      </c>
      <c r="L668" t="s">
        <v>468</v>
      </c>
      <c r="M668" t="s">
        <v>294</v>
      </c>
      <c r="N668" t="s">
        <v>243</v>
      </c>
    </row>
    <row r="669" spans="1:14" x14ac:dyDescent="0.2">
      <c r="A669">
        <v>1136592</v>
      </c>
      <c r="B669">
        <f>YEAR(#REF!)</f>
        <v>2018</v>
      </c>
      <c r="C669" t="s">
        <v>510</v>
      </c>
      <c r="D669" s="1">
        <v>43222</v>
      </c>
      <c r="E669" t="s">
        <v>76</v>
      </c>
      <c r="F669" t="s">
        <v>14</v>
      </c>
      <c r="H669" t="s">
        <v>14</v>
      </c>
      <c r="I669" t="s">
        <v>89</v>
      </c>
      <c r="J669" t="s">
        <v>78</v>
      </c>
      <c r="K669" t="s">
        <v>76</v>
      </c>
      <c r="L669" t="s">
        <v>183</v>
      </c>
      <c r="M669" t="s">
        <v>292</v>
      </c>
      <c r="N669" t="s">
        <v>88</v>
      </c>
    </row>
    <row r="670" spans="1:14" x14ac:dyDescent="0.2">
      <c r="A670">
        <v>1136593</v>
      </c>
      <c r="B670">
        <f>YEAR(#REF!)</f>
        <v>2018</v>
      </c>
      <c r="C670" t="s">
        <v>510</v>
      </c>
      <c r="D670" s="1">
        <v>43223</v>
      </c>
      <c r="E670" t="s">
        <v>15</v>
      </c>
      <c r="F670" t="s">
        <v>29</v>
      </c>
      <c r="H670" t="s">
        <v>29</v>
      </c>
      <c r="I670" t="s">
        <v>89</v>
      </c>
      <c r="J670" t="s">
        <v>78</v>
      </c>
      <c r="K670" t="s">
        <v>29</v>
      </c>
      <c r="L670" t="s">
        <v>133</v>
      </c>
      <c r="M670" t="s">
        <v>134</v>
      </c>
      <c r="N670" t="s">
        <v>135</v>
      </c>
    </row>
    <row r="671" spans="1:14" x14ac:dyDescent="0.2">
      <c r="A671">
        <v>1136594</v>
      </c>
      <c r="B671">
        <f>YEAR(#REF!)</f>
        <v>2018</v>
      </c>
      <c r="C671" t="s">
        <v>510</v>
      </c>
      <c r="D671" s="1">
        <v>43224</v>
      </c>
      <c r="E671" t="s">
        <v>33</v>
      </c>
      <c r="F671" t="s">
        <v>24</v>
      </c>
      <c r="H671" t="s">
        <v>24</v>
      </c>
      <c r="I671" t="s">
        <v>89</v>
      </c>
      <c r="J671" t="s">
        <v>78</v>
      </c>
      <c r="K671" t="s">
        <v>24</v>
      </c>
      <c r="L671" t="s">
        <v>287</v>
      </c>
      <c r="M671" t="s">
        <v>304</v>
      </c>
      <c r="N671" t="s">
        <v>305</v>
      </c>
    </row>
    <row r="672" spans="1:14" x14ac:dyDescent="0.2">
      <c r="A672">
        <v>1136596</v>
      </c>
      <c r="B672">
        <f>YEAR(#REF!)</f>
        <v>2018</v>
      </c>
      <c r="C672" t="s">
        <v>510</v>
      </c>
      <c r="D672" s="1">
        <v>43225</v>
      </c>
      <c r="E672" t="s">
        <v>76</v>
      </c>
      <c r="F672" t="s">
        <v>39</v>
      </c>
      <c r="H672" t="s">
        <v>76</v>
      </c>
      <c r="I672" t="s">
        <v>77</v>
      </c>
      <c r="J672" t="s">
        <v>78</v>
      </c>
      <c r="K672" t="s">
        <v>39</v>
      </c>
      <c r="L672" t="s">
        <v>296</v>
      </c>
      <c r="M672" t="s">
        <v>144</v>
      </c>
      <c r="N672" t="s">
        <v>145</v>
      </c>
    </row>
    <row r="673" spans="1:14" x14ac:dyDescent="0.2">
      <c r="A673">
        <v>1136595</v>
      </c>
      <c r="B673">
        <f>YEAR(#REF!)</f>
        <v>2018</v>
      </c>
      <c r="C673" t="s">
        <v>510</v>
      </c>
      <c r="D673" s="1">
        <v>43225</v>
      </c>
      <c r="E673" t="s">
        <v>20</v>
      </c>
      <c r="F673" t="s">
        <v>15</v>
      </c>
      <c r="H673" t="s">
        <v>15</v>
      </c>
      <c r="I673" t="s">
        <v>89</v>
      </c>
      <c r="J673" t="s">
        <v>78</v>
      </c>
      <c r="K673" t="s">
        <v>15</v>
      </c>
      <c r="L673" t="s">
        <v>179</v>
      </c>
      <c r="M673" t="s">
        <v>255</v>
      </c>
      <c r="N673" t="s">
        <v>163</v>
      </c>
    </row>
    <row r="674" spans="1:14" x14ac:dyDescent="0.2">
      <c r="A674">
        <v>1136598</v>
      </c>
      <c r="B674">
        <f>YEAR(#REF!)</f>
        <v>2018</v>
      </c>
      <c r="C674" t="s">
        <v>510</v>
      </c>
      <c r="D674" s="1">
        <v>43226</v>
      </c>
      <c r="E674" t="s">
        <v>14</v>
      </c>
      <c r="F674" t="s">
        <v>33</v>
      </c>
      <c r="H674" t="s">
        <v>33</v>
      </c>
      <c r="I674" t="s">
        <v>89</v>
      </c>
      <c r="J674" t="s">
        <v>78</v>
      </c>
      <c r="K674" t="s">
        <v>33</v>
      </c>
      <c r="L674" t="s">
        <v>452</v>
      </c>
      <c r="M674" t="s">
        <v>304</v>
      </c>
      <c r="N674" t="s">
        <v>305</v>
      </c>
    </row>
    <row r="675" spans="1:14" x14ac:dyDescent="0.2">
      <c r="A675">
        <v>1136597</v>
      </c>
      <c r="B675">
        <f>YEAR(#REF!)</f>
        <v>2018</v>
      </c>
      <c r="C675" t="s">
        <v>510</v>
      </c>
      <c r="D675" s="1">
        <v>43226</v>
      </c>
      <c r="E675" t="s">
        <v>24</v>
      </c>
      <c r="F675" t="s">
        <v>29</v>
      </c>
      <c r="H675" t="s">
        <v>29</v>
      </c>
      <c r="I675" t="s">
        <v>89</v>
      </c>
      <c r="J675" t="s">
        <v>78</v>
      </c>
      <c r="K675" t="s">
        <v>24</v>
      </c>
      <c r="L675" t="s">
        <v>364</v>
      </c>
      <c r="M675" t="s">
        <v>97</v>
      </c>
      <c r="N675" t="s">
        <v>92</v>
      </c>
    </row>
    <row r="676" spans="1:14" x14ac:dyDescent="0.2">
      <c r="A676">
        <v>1136599</v>
      </c>
      <c r="B676">
        <f>YEAR(#REF!)</f>
        <v>2018</v>
      </c>
      <c r="C676" t="s">
        <v>510</v>
      </c>
      <c r="D676" s="1">
        <v>43227</v>
      </c>
      <c r="E676" t="s">
        <v>39</v>
      </c>
      <c r="F676" t="s">
        <v>20</v>
      </c>
      <c r="H676" t="s">
        <v>20</v>
      </c>
      <c r="I676" t="s">
        <v>89</v>
      </c>
      <c r="J676" t="s">
        <v>78</v>
      </c>
      <c r="K676" t="s">
        <v>39</v>
      </c>
      <c r="L676" t="s">
        <v>143</v>
      </c>
      <c r="M676" t="s">
        <v>144</v>
      </c>
      <c r="N676" t="s">
        <v>145</v>
      </c>
    </row>
    <row r="677" spans="1:14" x14ac:dyDescent="0.2">
      <c r="A677">
        <v>1136600</v>
      </c>
      <c r="B677">
        <f>YEAR(#REF!)</f>
        <v>2018</v>
      </c>
      <c r="C677" t="s">
        <v>510</v>
      </c>
      <c r="D677" s="1">
        <v>43228</v>
      </c>
      <c r="E677" t="s">
        <v>14</v>
      </c>
      <c r="F677" t="s">
        <v>33</v>
      </c>
      <c r="H677" t="s">
        <v>14</v>
      </c>
      <c r="I677" t="s">
        <v>77</v>
      </c>
      <c r="J677" t="s">
        <v>78</v>
      </c>
      <c r="K677" t="s">
        <v>14</v>
      </c>
      <c r="L677" t="s">
        <v>247</v>
      </c>
      <c r="M677" t="s">
        <v>153</v>
      </c>
      <c r="N677" t="s">
        <v>85</v>
      </c>
    </row>
    <row r="678" spans="1:14" x14ac:dyDescent="0.2">
      <c r="A678">
        <v>1136601</v>
      </c>
      <c r="B678">
        <f>YEAR(#REF!)</f>
        <v>2018</v>
      </c>
      <c r="C678" t="s">
        <v>510</v>
      </c>
      <c r="D678" s="1">
        <v>43229</v>
      </c>
      <c r="E678" t="s">
        <v>24</v>
      </c>
      <c r="F678" t="s">
        <v>29</v>
      </c>
      <c r="H678" t="s">
        <v>29</v>
      </c>
      <c r="I678" t="s">
        <v>89</v>
      </c>
      <c r="J678" t="s">
        <v>78</v>
      </c>
      <c r="K678" t="s">
        <v>24</v>
      </c>
      <c r="L678" t="s">
        <v>213</v>
      </c>
      <c r="M678" t="s">
        <v>134</v>
      </c>
      <c r="N678" t="s">
        <v>135</v>
      </c>
    </row>
    <row r="679" spans="1:14" x14ac:dyDescent="0.2">
      <c r="A679">
        <v>1136602</v>
      </c>
      <c r="B679">
        <f>YEAR(#REF!)</f>
        <v>2018</v>
      </c>
      <c r="C679" t="s">
        <v>510</v>
      </c>
      <c r="D679" s="1">
        <v>43230</v>
      </c>
      <c r="E679" t="s">
        <v>76</v>
      </c>
      <c r="F679" t="s">
        <v>39</v>
      </c>
      <c r="H679" t="s">
        <v>76</v>
      </c>
      <c r="I679" t="s">
        <v>77</v>
      </c>
      <c r="J679" t="s">
        <v>78</v>
      </c>
      <c r="K679" t="s">
        <v>39</v>
      </c>
      <c r="L679" t="s">
        <v>90</v>
      </c>
      <c r="M679" t="s">
        <v>292</v>
      </c>
      <c r="N679" t="s">
        <v>88</v>
      </c>
    </row>
    <row r="680" spans="1:14" x14ac:dyDescent="0.2">
      <c r="A680">
        <v>1136603</v>
      </c>
      <c r="B680">
        <f>YEAR(#REF!)</f>
        <v>2018</v>
      </c>
      <c r="C680" t="s">
        <v>510</v>
      </c>
      <c r="D680" s="1">
        <v>43231</v>
      </c>
      <c r="E680" t="s">
        <v>15</v>
      </c>
      <c r="F680" t="s">
        <v>14</v>
      </c>
      <c r="H680" t="s">
        <v>15</v>
      </c>
      <c r="I680" t="s">
        <v>77</v>
      </c>
      <c r="J680" t="s">
        <v>78</v>
      </c>
      <c r="K680" t="s">
        <v>14</v>
      </c>
      <c r="L680" t="s">
        <v>247</v>
      </c>
      <c r="M680" t="s">
        <v>153</v>
      </c>
      <c r="N680" t="s">
        <v>85</v>
      </c>
    </row>
    <row r="681" spans="1:14" x14ac:dyDescent="0.2">
      <c r="A681">
        <v>1136604</v>
      </c>
      <c r="B681">
        <f>YEAR(#REF!)</f>
        <v>2018</v>
      </c>
      <c r="C681" t="s">
        <v>510</v>
      </c>
      <c r="D681" s="1">
        <v>43232</v>
      </c>
      <c r="E681" t="s">
        <v>29</v>
      </c>
      <c r="F681" t="s">
        <v>33</v>
      </c>
      <c r="H681" t="s">
        <v>33</v>
      </c>
      <c r="I681" t="s">
        <v>89</v>
      </c>
      <c r="J681" t="s">
        <v>78</v>
      </c>
      <c r="K681" t="s">
        <v>29</v>
      </c>
      <c r="L681" t="s">
        <v>133</v>
      </c>
      <c r="M681" t="s">
        <v>304</v>
      </c>
      <c r="N681" t="s">
        <v>305</v>
      </c>
    </row>
    <row r="682" spans="1:14" x14ac:dyDescent="0.2">
      <c r="A682">
        <v>1136605</v>
      </c>
      <c r="B682">
        <f>YEAR(#REF!)</f>
        <v>2018</v>
      </c>
      <c r="C682" t="s">
        <v>510</v>
      </c>
      <c r="D682" s="1">
        <v>43232</v>
      </c>
      <c r="E682" t="s">
        <v>76</v>
      </c>
      <c r="F682" t="s">
        <v>20</v>
      </c>
      <c r="H682" t="s">
        <v>20</v>
      </c>
      <c r="I682" t="s">
        <v>89</v>
      </c>
      <c r="J682" t="s">
        <v>78</v>
      </c>
      <c r="K682" t="s">
        <v>20</v>
      </c>
      <c r="L682" t="s">
        <v>38</v>
      </c>
      <c r="M682" t="s">
        <v>292</v>
      </c>
      <c r="N682" t="s">
        <v>88</v>
      </c>
    </row>
    <row r="683" spans="1:14" x14ac:dyDescent="0.2">
      <c r="A683">
        <v>1136606</v>
      </c>
      <c r="B683">
        <f>YEAR(#REF!)</f>
        <v>2018</v>
      </c>
      <c r="C683" t="s">
        <v>510</v>
      </c>
      <c r="D683" s="1">
        <v>43233</v>
      </c>
      <c r="E683" t="s">
        <v>39</v>
      </c>
      <c r="F683" t="s">
        <v>15</v>
      </c>
      <c r="H683" t="s">
        <v>15</v>
      </c>
      <c r="I683" t="s">
        <v>89</v>
      </c>
      <c r="J683" t="s">
        <v>78</v>
      </c>
      <c r="K683" t="s">
        <v>15</v>
      </c>
      <c r="L683" t="s">
        <v>231</v>
      </c>
      <c r="M683" t="s">
        <v>255</v>
      </c>
      <c r="N683" t="s">
        <v>163</v>
      </c>
    </row>
    <row r="684" spans="1:14" x14ac:dyDescent="0.2">
      <c r="A684">
        <v>1136607</v>
      </c>
      <c r="B684">
        <f>YEAR(#REF!)</f>
        <v>2018</v>
      </c>
      <c r="C684" t="s">
        <v>510</v>
      </c>
      <c r="D684" s="1">
        <v>43233</v>
      </c>
      <c r="E684" t="s">
        <v>24</v>
      </c>
      <c r="F684" t="s">
        <v>14</v>
      </c>
      <c r="H684" t="s">
        <v>14</v>
      </c>
      <c r="I684" t="s">
        <v>89</v>
      </c>
      <c r="J684" t="s">
        <v>78</v>
      </c>
      <c r="K684" t="s">
        <v>14</v>
      </c>
      <c r="L684" t="s">
        <v>247</v>
      </c>
      <c r="M684" t="s">
        <v>97</v>
      </c>
      <c r="N684" t="s">
        <v>92</v>
      </c>
    </row>
    <row r="685" spans="1:14" x14ac:dyDescent="0.2">
      <c r="A685">
        <v>1136608</v>
      </c>
      <c r="B685">
        <f>YEAR(#REF!)</f>
        <v>2018</v>
      </c>
      <c r="C685" t="s">
        <v>510</v>
      </c>
      <c r="D685" s="1">
        <v>43234</v>
      </c>
      <c r="E685" t="s">
        <v>33</v>
      </c>
      <c r="F685" t="s">
        <v>20</v>
      </c>
      <c r="H685" t="s">
        <v>20</v>
      </c>
      <c r="I685" t="s">
        <v>89</v>
      </c>
      <c r="J685" t="s">
        <v>78</v>
      </c>
      <c r="K685" t="s">
        <v>20</v>
      </c>
      <c r="L685" t="s">
        <v>240</v>
      </c>
      <c r="M685" t="s">
        <v>304</v>
      </c>
      <c r="N685" t="s">
        <v>305</v>
      </c>
    </row>
    <row r="686" spans="1:14" x14ac:dyDescent="0.2">
      <c r="A686">
        <v>1136609</v>
      </c>
      <c r="B686">
        <f>YEAR(#REF!)</f>
        <v>2018</v>
      </c>
      <c r="C686" t="s">
        <v>510</v>
      </c>
      <c r="D686" s="1">
        <v>43235</v>
      </c>
      <c r="E686" t="s">
        <v>14</v>
      </c>
      <c r="F686" t="s">
        <v>29</v>
      </c>
      <c r="H686" t="s">
        <v>29</v>
      </c>
      <c r="I686" t="s">
        <v>89</v>
      </c>
      <c r="J686" t="s">
        <v>78</v>
      </c>
      <c r="K686" t="s">
        <v>29</v>
      </c>
      <c r="L686" t="s">
        <v>218</v>
      </c>
      <c r="M686" t="s">
        <v>134</v>
      </c>
      <c r="N686" t="s">
        <v>135</v>
      </c>
    </row>
    <row r="687" spans="1:14" x14ac:dyDescent="0.2">
      <c r="A687">
        <v>1136610</v>
      </c>
      <c r="B687">
        <f>YEAR(#REF!)</f>
        <v>2018</v>
      </c>
      <c r="C687" t="s">
        <v>510</v>
      </c>
      <c r="D687" s="1">
        <v>43236</v>
      </c>
      <c r="E687" t="s">
        <v>24</v>
      </c>
      <c r="F687" t="s">
        <v>33</v>
      </c>
      <c r="H687" t="s">
        <v>33</v>
      </c>
      <c r="I687" t="s">
        <v>89</v>
      </c>
      <c r="J687" t="s">
        <v>78</v>
      </c>
      <c r="K687" t="s">
        <v>24</v>
      </c>
      <c r="L687" t="s">
        <v>108</v>
      </c>
      <c r="M687" t="s">
        <v>97</v>
      </c>
      <c r="N687" t="s">
        <v>92</v>
      </c>
    </row>
    <row r="688" spans="1:14" x14ac:dyDescent="0.2">
      <c r="A688">
        <v>1136611</v>
      </c>
      <c r="B688">
        <f>YEAR(#REF!)</f>
        <v>2018</v>
      </c>
      <c r="C688" t="s">
        <v>510</v>
      </c>
      <c r="D688" s="1">
        <v>43237</v>
      </c>
      <c r="E688" t="s">
        <v>20</v>
      </c>
      <c r="F688" t="s">
        <v>39</v>
      </c>
      <c r="H688" t="s">
        <v>39</v>
      </c>
      <c r="I688" t="s">
        <v>89</v>
      </c>
      <c r="J688" t="s">
        <v>78</v>
      </c>
      <c r="K688" t="s">
        <v>20</v>
      </c>
      <c r="L688" t="s">
        <v>38</v>
      </c>
      <c r="M688" t="s">
        <v>294</v>
      </c>
      <c r="N688" t="s">
        <v>243</v>
      </c>
    </row>
    <row r="689" spans="1:14" x14ac:dyDescent="0.2">
      <c r="A689">
        <v>1136612</v>
      </c>
      <c r="B689">
        <f>YEAR(#REF!)</f>
        <v>2018</v>
      </c>
      <c r="C689" t="s">
        <v>510</v>
      </c>
      <c r="D689" s="1">
        <v>43238</v>
      </c>
      <c r="E689" t="s">
        <v>76</v>
      </c>
      <c r="F689" t="s">
        <v>15</v>
      </c>
      <c r="H689" t="s">
        <v>15</v>
      </c>
      <c r="I689" t="s">
        <v>89</v>
      </c>
      <c r="J689" t="s">
        <v>78</v>
      </c>
      <c r="K689" t="s">
        <v>76</v>
      </c>
      <c r="L689" t="s">
        <v>339</v>
      </c>
      <c r="M689" t="s">
        <v>292</v>
      </c>
      <c r="N689" t="s">
        <v>88</v>
      </c>
    </row>
    <row r="690" spans="1:14" x14ac:dyDescent="0.2">
      <c r="A690">
        <v>1136613</v>
      </c>
      <c r="B690">
        <f>YEAR(#REF!)</f>
        <v>2018</v>
      </c>
      <c r="C690" t="s">
        <v>510</v>
      </c>
      <c r="D690" s="1">
        <v>43239</v>
      </c>
      <c r="E690" t="s">
        <v>14</v>
      </c>
      <c r="F690" t="s">
        <v>20</v>
      </c>
      <c r="H690" t="s">
        <v>14</v>
      </c>
      <c r="I690" t="s">
        <v>77</v>
      </c>
      <c r="J690" t="s">
        <v>78</v>
      </c>
      <c r="K690" t="s">
        <v>14</v>
      </c>
      <c r="L690" t="s">
        <v>376</v>
      </c>
      <c r="M690" t="s">
        <v>153</v>
      </c>
      <c r="N690" t="s">
        <v>85</v>
      </c>
    </row>
    <row r="691" spans="1:14" x14ac:dyDescent="0.2">
      <c r="A691">
        <v>1136614</v>
      </c>
      <c r="B691">
        <f>YEAR(#REF!)</f>
        <v>2018</v>
      </c>
      <c r="C691" t="s">
        <v>510</v>
      </c>
      <c r="D691" s="1">
        <v>43239</v>
      </c>
      <c r="E691" t="s">
        <v>39</v>
      </c>
      <c r="F691" t="s">
        <v>29</v>
      </c>
      <c r="H691" t="s">
        <v>39</v>
      </c>
      <c r="I691" t="s">
        <v>77</v>
      </c>
      <c r="J691" t="s">
        <v>78</v>
      </c>
      <c r="K691" t="s">
        <v>29</v>
      </c>
      <c r="L691" t="s">
        <v>434</v>
      </c>
      <c r="M691" t="s">
        <v>144</v>
      </c>
      <c r="N691" t="s">
        <v>145</v>
      </c>
    </row>
    <row r="692" spans="1:14" x14ac:dyDescent="0.2">
      <c r="A692">
        <v>1136615</v>
      </c>
      <c r="B692">
        <f>YEAR(#REF!)</f>
        <v>2018</v>
      </c>
      <c r="C692" t="s">
        <v>510</v>
      </c>
      <c r="D692" s="1">
        <v>43240</v>
      </c>
      <c r="E692" t="s">
        <v>76</v>
      </c>
      <c r="F692" t="s">
        <v>24</v>
      </c>
      <c r="H692" t="s">
        <v>76</v>
      </c>
      <c r="I692" t="s">
        <v>77</v>
      </c>
      <c r="J692" t="s">
        <v>78</v>
      </c>
      <c r="K692" t="s">
        <v>76</v>
      </c>
      <c r="L692" t="s">
        <v>151</v>
      </c>
      <c r="M692" t="s">
        <v>292</v>
      </c>
      <c r="N692" t="s">
        <v>88</v>
      </c>
    </row>
    <row r="693" spans="1:14" x14ac:dyDescent="0.2">
      <c r="A693">
        <v>1136616</v>
      </c>
      <c r="B693">
        <f>YEAR(#REF!)</f>
        <v>2018</v>
      </c>
      <c r="C693" t="s">
        <v>510</v>
      </c>
      <c r="D693" s="1">
        <v>43240</v>
      </c>
      <c r="E693" t="s">
        <v>33</v>
      </c>
      <c r="F693" t="s">
        <v>15</v>
      </c>
      <c r="H693" t="s">
        <v>15</v>
      </c>
      <c r="I693" t="s">
        <v>89</v>
      </c>
      <c r="J693" t="s">
        <v>78</v>
      </c>
      <c r="K693" t="s">
        <v>15</v>
      </c>
      <c r="L693" t="s">
        <v>474</v>
      </c>
      <c r="M693" t="s">
        <v>255</v>
      </c>
      <c r="N693" t="s">
        <v>163</v>
      </c>
    </row>
    <row r="694" spans="1:14" x14ac:dyDescent="0.2">
      <c r="A694">
        <v>1136617</v>
      </c>
      <c r="B694">
        <f>YEAR(#REF!)</f>
        <v>2018</v>
      </c>
      <c r="C694" t="s">
        <v>510</v>
      </c>
      <c r="D694" s="1">
        <v>43242</v>
      </c>
      <c r="E694" t="s">
        <v>39</v>
      </c>
      <c r="F694" t="s">
        <v>15</v>
      </c>
      <c r="H694" t="s">
        <v>15</v>
      </c>
      <c r="I694" t="s">
        <v>89</v>
      </c>
      <c r="J694" t="s">
        <v>78</v>
      </c>
      <c r="K694" t="s">
        <v>15</v>
      </c>
      <c r="L694" t="s">
        <v>189</v>
      </c>
      <c r="M694" t="s">
        <v>97</v>
      </c>
      <c r="N694" t="s">
        <v>92</v>
      </c>
    </row>
    <row r="695" spans="1:14" x14ac:dyDescent="0.2">
      <c r="A695">
        <v>1136618</v>
      </c>
      <c r="B695">
        <f>YEAR(#REF!)</f>
        <v>2018</v>
      </c>
      <c r="C695" t="s">
        <v>510</v>
      </c>
      <c r="D695" s="1">
        <v>43243</v>
      </c>
      <c r="E695" t="s">
        <v>29</v>
      </c>
      <c r="F695" t="s">
        <v>14</v>
      </c>
      <c r="H695" t="s">
        <v>14</v>
      </c>
      <c r="I695" t="s">
        <v>89</v>
      </c>
      <c r="J695" t="s">
        <v>78</v>
      </c>
      <c r="K695" t="s">
        <v>29</v>
      </c>
      <c r="L695" t="s">
        <v>140</v>
      </c>
      <c r="M695" t="s">
        <v>134</v>
      </c>
      <c r="N695" t="s">
        <v>135</v>
      </c>
    </row>
    <row r="696" spans="1:14" x14ac:dyDescent="0.2">
      <c r="A696">
        <v>1136619</v>
      </c>
      <c r="B696">
        <f>YEAR(#REF!)</f>
        <v>2018</v>
      </c>
      <c r="C696" t="s">
        <v>510</v>
      </c>
      <c r="D696" s="1">
        <v>43245</v>
      </c>
      <c r="E696" t="s">
        <v>39</v>
      </c>
      <c r="F696" t="s">
        <v>29</v>
      </c>
      <c r="H696" t="s">
        <v>29</v>
      </c>
      <c r="I696" t="s">
        <v>89</v>
      </c>
      <c r="J696" t="s">
        <v>78</v>
      </c>
      <c r="K696" t="s">
        <v>39</v>
      </c>
      <c r="L696" t="s">
        <v>296</v>
      </c>
      <c r="M696" t="s">
        <v>134</v>
      </c>
      <c r="N696" t="s">
        <v>135</v>
      </c>
    </row>
    <row r="697" spans="1:14" x14ac:dyDescent="0.2">
      <c r="A697">
        <v>1136620</v>
      </c>
      <c r="B697">
        <f>YEAR(#REF!)</f>
        <v>2018</v>
      </c>
      <c r="C697" t="s">
        <v>510</v>
      </c>
      <c r="D697" s="1">
        <v>43247</v>
      </c>
      <c r="E697" t="s">
        <v>39</v>
      </c>
      <c r="F697" t="s">
        <v>15</v>
      </c>
      <c r="H697" t="s">
        <v>15</v>
      </c>
      <c r="I697" t="s">
        <v>89</v>
      </c>
      <c r="J697" t="s">
        <v>78</v>
      </c>
      <c r="K697" t="s">
        <v>15</v>
      </c>
      <c r="L697" t="s">
        <v>166</v>
      </c>
      <c r="M697" t="s">
        <v>97</v>
      </c>
      <c r="N697" t="s">
        <v>92</v>
      </c>
    </row>
    <row r="698" spans="1:14" x14ac:dyDescent="0.2">
      <c r="A698">
        <v>1175356</v>
      </c>
      <c r="B698">
        <f>YEAR(#REF!)</f>
        <v>2019</v>
      </c>
      <c r="C698" t="s">
        <v>511</v>
      </c>
      <c r="D698" s="1">
        <v>43547</v>
      </c>
      <c r="E698" t="s">
        <v>20</v>
      </c>
      <c r="F698" t="s">
        <v>15</v>
      </c>
      <c r="H698" t="s">
        <v>15</v>
      </c>
      <c r="I698" t="s">
        <v>89</v>
      </c>
      <c r="J698" t="s">
        <v>78</v>
      </c>
      <c r="K698" t="s">
        <v>15</v>
      </c>
      <c r="L698" t="s">
        <v>101</v>
      </c>
      <c r="M698" t="s">
        <v>252</v>
      </c>
      <c r="N698" t="s">
        <v>107</v>
      </c>
    </row>
    <row r="699" spans="1:14" x14ac:dyDescent="0.2">
      <c r="A699">
        <v>1175358</v>
      </c>
      <c r="B699">
        <f>YEAR(#REF!)</f>
        <v>2019</v>
      </c>
      <c r="C699" t="s">
        <v>511</v>
      </c>
      <c r="D699" s="1">
        <v>43548</v>
      </c>
      <c r="E699" t="s">
        <v>49</v>
      </c>
      <c r="F699" t="s">
        <v>24</v>
      </c>
      <c r="H699" t="s">
        <v>24</v>
      </c>
      <c r="I699" t="s">
        <v>89</v>
      </c>
      <c r="J699" t="s">
        <v>78</v>
      </c>
      <c r="K699" t="s">
        <v>49</v>
      </c>
      <c r="L699" t="s">
        <v>183</v>
      </c>
      <c r="M699" t="s">
        <v>97</v>
      </c>
      <c r="N699" t="s">
        <v>92</v>
      </c>
    </row>
    <row r="700" spans="1:14" x14ac:dyDescent="0.2">
      <c r="A700">
        <v>1175357</v>
      </c>
      <c r="B700">
        <f>YEAR(#REF!)</f>
        <v>2019</v>
      </c>
      <c r="C700" t="s">
        <v>511</v>
      </c>
      <c r="D700" s="1">
        <v>43548</v>
      </c>
      <c r="E700" t="s">
        <v>39</v>
      </c>
      <c r="F700" t="s">
        <v>29</v>
      </c>
      <c r="H700" t="s">
        <v>29</v>
      </c>
      <c r="I700" t="s">
        <v>89</v>
      </c>
      <c r="J700" t="s">
        <v>78</v>
      </c>
      <c r="K700" t="s">
        <v>29</v>
      </c>
      <c r="L700" t="s">
        <v>140</v>
      </c>
      <c r="M700" t="s">
        <v>134</v>
      </c>
      <c r="N700" t="s">
        <v>135</v>
      </c>
    </row>
    <row r="701" spans="1:14" x14ac:dyDescent="0.2">
      <c r="A701">
        <v>1175359</v>
      </c>
      <c r="B701">
        <f>YEAR(#REF!)</f>
        <v>2019</v>
      </c>
      <c r="C701" t="s">
        <v>511</v>
      </c>
      <c r="D701" s="1">
        <v>43549</v>
      </c>
      <c r="E701" t="s">
        <v>33</v>
      </c>
      <c r="F701" t="s">
        <v>14</v>
      </c>
      <c r="H701" t="s">
        <v>14</v>
      </c>
      <c r="I701" t="s">
        <v>89</v>
      </c>
      <c r="J701" t="s">
        <v>78</v>
      </c>
      <c r="K701" t="s">
        <v>33</v>
      </c>
      <c r="L701" t="s">
        <v>214</v>
      </c>
      <c r="M701" t="s">
        <v>153</v>
      </c>
      <c r="N701" t="s">
        <v>85</v>
      </c>
    </row>
    <row r="702" spans="1:14" x14ac:dyDescent="0.2">
      <c r="A702">
        <v>1175360</v>
      </c>
      <c r="B702">
        <f>YEAR(#REF!)</f>
        <v>2019</v>
      </c>
      <c r="C702" t="s">
        <v>511</v>
      </c>
      <c r="D702" s="1">
        <v>43550</v>
      </c>
      <c r="E702" t="s">
        <v>49</v>
      </c>
      <c r="F702" t="s">
        <v>15</v>
      </c>
      <c r="H702" t="s">
        <v>49</v>
      </c>
      <c r="I702" t="s">
        <v>77</v>
      </c>
      <c r="J702" t="s">
        <v>78</v>
      </c>
      <c r="K702" t="s">
        <v>15</v>
      </c>
      <c r="L702" t="s">
        <v>166</v>
      </c>
      <c r="M702" t="s">
        <v>292</v>
      </c>
      <c r="N702" t="s">
        <v>88</v>
      </c>
    </row>
    <row r="703" spans="1:14" x14ac:dyDescent="0.2">
      <c r="A703">
        <v>1175361</v>
      </c>
      <c r="B703">
        <f>YEAR(#REF!)</f>
        <v>2019</v>
      </c>
      <c r="C703" t="s">
        <v>511</v>
      </c>
      <c r="D703" s="1">
        <v>43551</v>
      </c>
      <c r="E703" t="s">
        <v>29</v>
      </c>
      <c r="F703" t="s">
        <v>33</v>
      </c>
      <c r="H703" t="s">
        <v>33</v>
      </c>
      <c r="I703" t="s">
        <v>89</v>
      </c>
      <c r="J703" t="s">
        <v>78</v>
      </c>
      <c r="K703" t="s">
        <v>29</v>
      </c>
      <c r="L703" t="s">
        <v>140</v>
      </c>
      <c r="M703" t="s">
        <v>134</v>
      </c>
      <c r="N703" t="s">
        <v>135</v>
      </c>
    </row>
    <row r="704" spans="1:14" x14ac:dyDescent="0.2">
      <c r="A704">
        <v>1175362</v>
      </c>
      <c r="B704">
        <f>YEAR(#REF!)</f>
        <v>2019</v>
      </c>
      <c r="C704" t="s">
        <v>511</v>
      </c>
      <c r="D704" s="1">
        <v>43552</v>
      </c>
      <c r="E704" t="s">
        <v>24</v>
      </c>
      <c r="F704" t="s">
        <v>20</v>
      </c>
      <c r="H704" t="s">
        <v>20</v>
      </c>
      <c r="I704" t="s">
        <v>89</v>
      </c>
      <c r="J704" t="s">
        <v>78</v>
      </c>
      <c r="K704" t="s">
        <v>24</v>
      </c>
      <c r="L704" t="s">
        <v>108</v>
      </c>
      <c r="M704" t="s">
        <v>294</v>
      </c>
      <c r="N704" t="s">
        <v>243</v>
      </c>
    </row>
    <row r="705" spans="1:14" x14ac:dyDescent="0.2">
      <c r="A705">
        <v>1175363</v>
      </c>
      <c r="B705">
        <f>YEAR(#REF!)</f>
        <v>2019</v>
      </c>
      <c r="C705" t="s">
        <v>511</v>
      </c>
      <c r="D705" s="1">
        <v>43553</v>
      </c>
      <c r="E705" t="s">
        <v>14</v>
      </c>
      <c r="F705" t="s">
        <v>39</v>
      </c>
      <c r="H705" t="s">
        <v>14</v>
      </c>
      <c r="I705" t="s">
        <v>77</v>
      </c>
      <c r="J705" t="s">
        <v>78</v>
      </c>
      <c r="K705" t="s">
        <v>39</v>
      </c>
      <c r="L705" t="s">
        <v>296</v>
      </c>
      <c r="M705" t="s">
        <v>144</v>
      </c>
      <c r="N705" t="s">
        <v>145</v>
      </c>
    </row>
    <row r="706" spans="1:14" x14ac:dyDescent="0.2">
      <c r="A706">
        <v>1175364</v>
      </c>
      <c r="B706">
        <f>YEAR(#REF!)</f>
        <v>2019</v>
      </c>
      <c r="C706" t="s">
        <v>511</v>
      </c>
      <c r="D706" s="1">
        <v>43554</v>
      </c>
      <c r="E706" t="s">
        <v>24</v>
      </c>
      <c r="F706" t="s">
        <v>33</v>
      </c>
      <c r="H706" t="s">
        <v>33</v>
      </c>
      <c r="I706" t="s">
        <v>89</v>
      </c>
      <c r="J706" t="s">
        <v>78</v>
      </c>
      <c r="K706" t="s">
        <v>33</v>
      </c>
      <c r="L706" t="s">
        <v>230</v>
      </c>
      <c r="M706" t="s">
        <v>94</v>
      </c>
      <c r="N706" t="s">
        <v>95</v>
      </c>
    </row>
    <row r="707" spans="1:14" x14ac:dyDescent="0.2">
      <c r="A707">
        <v>1175365</v>
      </c>
      <c r="B707">
        <f>YEAR(#REF!)</f>
        <v>2019</v>
      </c>
      <c r="C707" t="s">
        <v>511</v>
      </c>
      <c r="D707" s="1">
        <v>43554</v>
      </c>
      <c r="E707" t="s">
        <v>29</v>
      </c>
      <c r="F707" t="s">
        <v>49</v>
      </c>
      <c r="H707" t="s">
        <v>49</v>
      </c>
      <c r="I707" t="s">
        <v>89</v>
      </c>
      <c r="J707" t="s">
        <v>310</v>
      </c>
      <c r="K707" t="s">
        <v>79</v>
      </c>
      <c r="L707" t="s">
        <v>363</v>
      </c>
      <c r="M707" t="s">
        <v>292</v>
      </c>
      <c r="N707" t="s">
        <v>88</v>
      </c>
    </row>
    <row r="708" spans="1:14" x14ac:dyDescent="0.2">
      <c r="A708">
        <v>1175367</v>
      </c>
      <c r="B708">
        <f>YEAR(#REF!)</f>
        <v>2019</v>
      </c>
      <c r="C708" t="s">
        <v>511</v>
      </c>
      <c r="D708" s="1">
        <v>43555</v>
      </c>
      <c r="E708" t="s">
        <v>15</v>
      </c>
      <c r="F708" t="s">
        <v>14</v>
      </c>
      <c r="H708" t="s">
        <v>14</v>
      </c>
      <c r="I708" t="s">
        <v>89</v>
      </c>
      <c r="J708" t="s">
        <v>78</v>
      </c>
      <c r="K708" t="s">
        <v>15</v>
      </c>
      <c r="L708" t="s">
        <v>119</v>
      </c>
      <c r="M708" t="s">
        <v>252</v>
      </c>
      <c r="N708" t="s">
        <v>107</v>
      </c>
    </row>
    <row r="709" spans="1:14" x14ac:dyDescent="0.2">
      <c r="A709">
        <v>1175366</v>
      </c>
      <c r="B709">
        <f>YEAR(#REF!)</f>
        <v>2019</v>
      </c>
      <c r="C709" t="s">
        <v>511</v>
      </c>
      <c r="D709" s="1">
        <v>43555</v>
      </c>
      <c r="E709" t="s">
        <v>39</v>
      </c>
      <c r="F709" t="s">
        <v>20</v>
      </c>
      <c r="H709" t="s">
        <v>20</v>
      </c>
      <c r="I709" t="s">
        <v>89</v>
      </c>
      <c r="J709" t="s">
        <v>78</v>
      </c>
      <c r="K709" t="s">
        <v>39</v>
      </c>
      <c r="L709" t="s">
        <v>220</v>
      </c>
      <c r="M709" t="s">
        <v>144</v>
      </c>
      <c r="N709" t="s">
        <v>145</v>
      </c>
    </row>
    <row r="710" spans="1:14" x14ac:dyDescent="0.2">
      <c r="A710">
        <v>1175368</v>
      </c>
      <c r="B710">
        <f>YEAR(#REF!)</f>
        <v>2019</v>
      </c>
      <c r="C710" t="s">
        <v>511</v>
      </c>
      <c r="D710" s="1">
        <v>43556</v>
      </c>
      <c r="E710" t="s">
        <v>33</v>
      </c>
      <c r="F710" t="s">
        <v>49</v>
      </c>
      <c r="H710" t="s">
        <v>49</v>
      </c>
      <c r="I710" t="s">
        <v>89</v>
      </c>
      <c r="J710" t="s">
        <v>78</v>
      </c>
      <c r="K710" t="s">
        <v>33</v>
      </c>
      <c r="L710" t="s">
        <v>206</v>
      </c>
      <c r="M710" t="s">
        <v>94</v>
      </c>
      <c r="N710" t="s">
        <v>95</v>
      </c>
    </row>
    <row r="711" spans="1:14" x14ac:dyDescent="0.2">
      <c r="A711">
        <v>1175369</v>
      </c>
      <c r="B711">
        <f>YEAR(#REF!)</f>
        <v>2019</v>
      </c>
      <c r="C711" t="s">
        <v>511</v>
      </c>
      <c r="D711" s="1">
        <v>43557</v>
      </c>
      <c r="E711" t="s">
        <v>20</v>
      </c>
      <c r="F711" t="s">
        <v>14</v>
      </c>
      <c r="H711" t="s">
        <v>14</v>
      </c>
      <c r="I711" t="s">
        <v>89</v>
      </c>
      <c r="J711" t="s">
        <v>78</v>
      </c>
      <c r="K711" t="s">
        <v>14</v>
      </c>
      <c r="L711" t="s">
        <v>376</v>
      </c>
      <c r="M711" t="s">
        <v>153</v>
      </c>
      <c r="N711" t="s">
        <v>85</v>
      </c>
    </row>
    <row r="712" spans="1:14" x14ac:dyDescent="0.2">
      <c r="A712">
        <v>1175370</v>
      </c>
      <c r="B712">
        <f>YEAR(#REF!)</f>
        <v>2019</v>
      </c>
      <c r="C712" t="s">
        <v>511</v>
      </c>
      <c r="D712" s="1">
        <v>43558</v>
      </c>
      <c r="E712" t="s">
        <v>24</v>
      </c>
      <c r="F712" t="s">
        <v>15</v>
      </c>
      <c r="H712" t="s">
        <v>15</v>
      </c>
      <c r="I712" t="s">
        <v>89</v>
      </c>
      <c r="J712" t="s">
        <v>78</v>
      </c>
      <c r="K712" t="s">
        <v>24</v>
      </c>
      <c r="L712" t="s">
        <v>364</v>
      </c>
      <c r="M712" t="s">
        <v>97</v>
      </c>
      <c r="N712" t="s">
        <v>92</v>
      </c>
    </row>
    <row r="713" spans="1:14" x14ac:dyDescent="0.2">
      <c r="A713">
        <v>1175371</v>
      </c>
      <c r="B713">
        <f>YEAR(#REF!)</f>
        <v>2019</v>
      </c>
      <c r="C713" t="s">
        <v>511</v>
      </c>
      <c r="D713" s="1">
        <v>43559</v>
      </c>
      <c r="E713" t="s">
        <v>49</v>
      </c>
      <c r="F713" t="s">
        <v>39</v>
      </c>
      <c r="H713" t="s">
        <v>39</v>
      </c>
      <c r="I713" t="s">
        <v>89</v>
      </c>
      <c r="J713" t="s">
        <v>78</v>
      </c>
      <c r="K713" t="s">
        <v>39</v>
      </c>
      <c r="L713" t="s">
        <v>220</v>
      </c>
      <c r="M713" t="s">
        <v>292</v>
      </c>
      <c r="N713" t="s">
        <v>88</v>
      </c>
    </row>
    <row r="714" spans="1:14" x14ac:dyDescent="0.2">
      <c r="A714">
        <v>1175372</v>
      </c>
      <c r="B714">
        <f>YEAR(#REF!)</f>
        <v>2019</v>
      </c>
      <c r="C714" t="s">
        <v>511</v>
      </c>
      <c r="D714" s="1">
        <v>43560</v>
      </c>
      <c r="E714" t="s">
        <v>20</v>
      </c>
      <c r="F714" t="s">
        <v>29</v>
      </c>
      <c r="H714" t="s">
        <v>29</v>
      </c>
      <c r="I714" t="s">
        <v>89</v>
      </c>
      <c r="J714" t="s">
        <v>78</v>
      </c>
      <c r="K714" t="s">
        <v>29</v>
      </c>
      <c r="L714" t="s">
        <v>140</v>
      </c>
      <c r="M714" t="s">
        <v>294</v>
      </c>
      <c r="N714" t="s">
        <v>243</v>
      </c>
    </row>
    <row r="715" spans="1:14" x14ac:dyDescent="0.2">
      <c r="A715">
        <v>1178393</v>
      </c>
      <c r="B715">
        <f>YEAR(#REF!)</f>
        <v>2019</v>
      </c>
      <c r="C715" t="s">
        <v>511</v>
      </c>
      <c r="D715" s="1">
        <v>43561</v>
      </c>
      <c r="E715" t="s">
        <v>15</v>
      </c>
      <c r="F715" t="s">
        <v>33</v>
      </c>
      <c r="H715" t="s">
        <v>15</v>
      </c>
      <c r="I715" t="s">
        <v>77</v>
      </c>
      <c r="J715" t="s">
        <v>78</v>
      </c>
      <c r="K715" t="s">
        <v>15</v>
      </c>
      <c r="L715" t="s">
        <v>101</v>
      </c>
      <c r="M715" t="s">
        <v>252</v>
      </c>
      <c r="N715" t="s">
        <v>107</v>
      </c>
    </row>
    <row r="716" spans="1:14" x14ac:dyDescent="0.2">
      <c r="A716">
        <v>1178394</v>
      </c>
      <c r="B716">
        <f>YEAR(#REF!)</f>
        <v>2019</v>
      </c>
      <c r="C716" t="s">
        <v>511</v>
      </c>
      <c r="D716" s="1">
        <v>43561</v>
      </c>
      <c r="E716" t="s">
        <v>24</v>
      </c>
      <c r="F716" t="s">
        <v>39</v>
      </c>
      <c r="H716" t="s">
        <v>39</v>
      </c>
      <c r="I716" t="s">
        <v>89</v>
      </c>
      <c r="J716" t="s">
        <v>78</v>
      </c>
      <c r="K716" t="s">
        <v>24</v>
      </c>
      <c r="L716" t="s">
        <v>424</v>
      </c>
      <c r="M716" t="s">
        <v>144</v>
      </c>
      <c r="N716" t="s">
        <v>145</v>
      </c>
    </row>
    <row r="717" spans="1:14" x14ac:dyDescent="0.2">
      <c r="A717">
        <v>1178395</v>
      </c>
      <c r="B717">
        <f>YEAR(#REF!)</f>
        <v>2019</v>
      </c>
      <c r="C717" t="s">
        <v>511</v>
      </c>
      <c r="D717" s="1">
        <v>43562</v>
      </c>
      <c r="E717" t="s">
        <v>20</v>
      </c>
      <c r="F717" t="s">
        <v>49</v>
      </c>
      <c r="H717" t="s">
        <v>49</v>
      </c>
      <c r="I717" t="s">
        <v>89</v>
      </c>
      <c r="J717" t="s">
        <v>78</v>
      </c>
      <c r="K717" t="s">
        <v>49</v>
      </c>
      <c r="L717" t="s">
        <v>429</v>
      </c>
      <c r="M717" t="s">
        <v>294</v>
      </c>
      <c r="N717" t="s">
        <v>243</v>
      </c>
    </row>
    <row r="718" spans="1:14" x14ac:dyDescent="0.2">
      <c r="A718">
        <v>1178396</v>
      </c>
      <c r="B718">
        <f>YEAR(#REF!)</f>
        <v>2019</v>
      </c>
      <c r="C718" t="s">
        <v>511</v>
      </c>
      <c r="D718" s="1">
        <v>43562</v>
      </c>
      <c r="E718" t="s">
        <v>14</v>
      </c>
      <c r="F718" t="s">
        <v>29</v>
      </c>
      <c r="H718" t="s">
        <v>29</v>
      </c>
      <c r="I718" t="s">
        <v>89</v>
      </c>
      <c r="J718" t="s">
        <v>78</v>
      </c>
      <c r="K718" t="s">
        <v>29</v>
      </c>
      <c r="L718" t="s">
        <v>461</v>
      </c>
      <c r="M718" t="s">
        <v>153</v>
      </c>
      <c r="N718" t="s">
        <v>85</v>
      </c>
    </row>
    <row r="719" spans="1:14" x14ac:dyDescent="0.2">
      <c r="A719">
        <v>1178397</v>
      </c>
      <c r="B719">
        <f>YEAR(#REF!)</f>
        <v>2019</v>
      </c>
      <c r="C719" t="s">
        <v>511</v>
      </c>
      <c r="D719" s="1">
        <v>43563</v>
      </c>
      <c r="E719" t="s">
        <v>39</v>
      </c>
      <c r="F719" t="s">
        <v>33</v>
      </c>
      <c r="H719" t="s">
        <v>33</v>
      </c>
      <c r="I719" t="s">
        <v>89</v>
      </c>
      <c r="J719" t="s">
        <v>78</v>
      </c>
      <c r="K719" t="s">
        <v>33</v>
      </c>
      <c r="L719" t="s">
        <v>50</v>
      </c>
      <c r="M719" t="s">
        <v>94</v>
      </c>
      <c r="N719" t="s">
        <v>95</v>
      </c>
    </row>
    <row r="720" spans="1:14" x14ac:dyDescent="0.2">
      <c r="A720">
        <v>1178398</v>
      </c>
      <c r="B720">
        <f>YEAR(#REF!)</f>
        <v>2019</v>
      </c>
      <c r="C720" t="s">
        <v>511</v>
      </c>
      <c r="D720" s="1">
        <v>43564</v>
      </c>
      <c r="E720" t="s">
        <v>29</v>
      </c>
      <c r="F720" t="s">
        <v>15</v>
      </c>
      <c r="H720" t="s">
        <v>15</v>
      </c>
      <c r="I720" t="s">
        <v>89</v>
      </c>
      <c r="J720" t="s">
        <v>78</v>
      </c>
      <c r="K720" t="s">
        <v>15</v>
      </c>
      <c r="L720" t="s">
        <v>398</v>
      </c>
      <c r="M720" t="s">
        <v>252</v>
      </c>
      <c r="N720" t="s">
        <v>107</v>
      </c>
    </row>
    <row r="721" spans="1:14" x14ac:dyDescent="0.2">
      <c r="A721">
        <v>1178399</v>
      </c>
      <c r="B721">
        <f>YEAR(#REF!)</f>
        <v>2019</v>
      </c>
      <c r="C721" t="s">
        <v>511</v>
      </c>
      <c r="D721" s="1">
        <v>43565</v>
      </c>
      <c r="E721" t="s">
        <v>33</v>
      </c>
      <c r="F721" t="s">
        <v>24</v>
      </c>
      <c r="H721" t="s">
        <v>24</v>
      </c>
      <c r="I721" t="s">
        <v>89</v>
      </c>
      <c r="J721" t="s">
        <v>78</v>
      </c>
      <c r="K721" t="s">
        <v>24</v>
      </c>
      <c r="L721" t="s">
        <v>123</v>
      </c>
      <c r="M721" t="s">
        <v>97</v>
      </c>
      <c r="N721" t="s">
        <v>92</v>
      </c>
    </row>
    <row r="722" spans="1:14" x14ac:dyDescent="0.2">
      <c r="A722">
        <v>1178400</v>
      </c>
      <c r="B722">
        <f>YEAR(#REF!)</f>
        <v>2019</v>
      </c>
      <c r="C722" t="s">
        <v>511</v>
      </c>
      <c r="D722" s="1">
        <v>43566</v>
      </c>
      <c r="E722" t="s">
        <v>14</v>
      </c>
      <c r="F722" t="s">
        <v>15</v>
      </c>
      <c r="H722" t="s">
        <v>15</v>
      </c>
      <c r="I722" t="s">
        <v>89</v>
      </c>
      <c r="J722" t="s">
        <v>78</v>
      </c>
      <c r="K722" t="s">
        <v>15</v>
      </c>
      <c r="L722" t="s">
        <v>119</v>
      </c>
      <c r="M722" t="s">
        <v>153</v>
      </c>
      <c r="N722" t="s">
        <v>85</v>
      </c>
    </row>
    <row r="723" spans="1:14" x14ac:dyDescent="0.2">
      <c r="A723">
        <v>1178401</v>
      </c>
      <c r="B723">
        <f>YEAR(#REF!)</f>
        <v>2019</v>
      </c>
      <c r="C723" t="s">
        <v>511</v>
      </c>
      <c r="D723" s="1">
        <v>43567</v>
      </c>
      <c r="E723" t="s">
        <v>29</v>
      </c>
      <c r="F723" t="s">
        <v>49</v>
      </c>
      <c r="H723" t="s">
        <v>49</v>
      </c>
      <c r="I723" t="s">
        <v>89</v>
      </c>
      <c r="J723" t="s">
        <v>78</v>
      </c>
      <c r="K723" t="s">
        <v>49</v>
      </c>
      <c r="L723" t="s">
        <v>90</v>
      </c>
      <c r="M723" t="s">
        <v>134</v>
      </c>
      <c r="N723" t="s">
        <v>135</v>
      </c>
    </row>
    <row r="724" spans="1:14" x14ac:dyDescent="0.2">
      <c r="A724">
        <v>1178403</v>
      </c>
      <c r="B724">
        <f>YEAR(#REF!)</f>
        <v>2019</v>
      </c>
      <c r="C724" t="s">
        <v>511</v>
      </c>
      <c r="D724" s="1">
        <v>43568</v>
      </c>
      <c r="E724" t="s">
        <v>33</v>
      </c>
      <c r="F724" t="s">
        <v>20</v>
      </c>
      <c r="H724" t="s">
        <v>20</v>
      </c>
      <c r="I724" t="s">
        <v>89</v>
      </c>
      <c r="J724" t="s">
        <v>78</v>
      </c>
      <c r="K724" t="s">
        <v>20</v>
      </c>
      <c r="L724" t="s">
        <v>38</v>
      </c>
      <c r="M724" t="s">
        <v>94</v>
      </c>
      <c r="N724" t="s">
        <v>95</v>
      </c>
    </row>
    <row r="725" spans="1:14" x14ac:dyDescent="0.2">
      <c r="A725">
        <v>1178402</v>
      </c>
      <c r="B725">
        <f>YEAR(#REF!)</f>
        <v>2019</v>
      </c>
      <c r="C725" t="s">
        <v>511</v>
      </c>
      <c r="D725" s="1">
        <v>43568</v>
      </c>
      <c r="E725" t="s">
        <v>24</v>
      </c>
      <c r="F725" t="s">
        <v>14</v>
      </c>
      <c r="H725" t="s">
        <v>14</v>
      </c>
      <c r="I725" t="s">
        <v>89</v>
      </c>
      <c r="J725" t="s">
        <v>78</v>
      </c>
      <c r="K725" t="s">
        <v>14</v>
      </c>
      <c r="L725" t="s">
        <v>247</v>
      </c>
      <c r="M725" t="s">
        <v>97</v>
      </c>
      <c r="N725" t="s">
        <v>92</v>
      </c>
    </row>
    <row r="726" spans="1:14" x14ac:dyDescent="0.2">
      <c r="A726">
        <v>1178404</v>
      </c>
      <c r="B726">
        <f>YEAR(#REF!)</f>
        <v>2019</v>
      </c>
      <c r="C726" t="s">
        <v>511</v>
      </c>
      <c r="D726" s="1">
        <v>43569</v>
      </c>
      <c r="E726" t="s">
        <v>29</v>
      </c>
      <c r="F726" t="s">
        <v>15</v>
      </c>
      <c r="H726" t="s">
        <v>15</v>
      </c>
      <c r="I726" t="s">
        <v>89</v>
      </c>
      <c r="J726" t="s">
        <v>78</v>
      </c>
      <c r="K726" t="s">
        <v>15</v>
      </c>
      <c r="L726" t="s">
        <v>47</v>
      </c>
      <c r="M726" t="s">
        <v>134</v>
      </c>
      <c r="N726" t="s">
        <v>135</v>
      </c>
    </row>
    <row r="727" spans="1:14" x14ac:dyDescent="0.2">
      <c r="A727">
        <v>1178405</v>
      </c>
      <c r="B727">
        <f>YEAR(#REF!)</f>
        <v>2019</v>
      </c>
      <c r="C727" t="s">
        <v>511</v>
      </c>
      <c r="D727" s="1">
        <v>43569</v>
      </c>
      <c r="E727" t="s">
        <v>49</v>
      </c>
      <c r="F727" t="s">
        <v>39</v>
      </c>
      <c r="H727" t="s">
        <v>39</v>
      </c>
      <c r="I727" t="s">
        <v>89</v>
      </c>
      <c r="J727" t="s">
        <v>78</v>
      </c>
      <c r="K727" t="s">
        <v>49</v>
      </c>
      <c r="L727" t="s">
        <v>494</v>
      </c>
      <c r="M727" t="s">
        <v>144</v>
      </c>
      <c r="N727" t="s">
        <v>145</v>
      </c>
    </row>
    <row r="728" spans="1:14" x14ac:dyDescent="0.2">
      <c r="A728">
        <v>1178406</v>
      </c>
      <c r="B728">
        <f>YEAR(#REF!)</f>
        <v>2019</v>
      </c>
      <c r="C728" t="s">
        <v>511</v>
      </c>
      <c r="D728" s="1">
        <v>43570</v>
      </c>
      <c r="E728" t="s">
        <v>20</v>
      </c>
      <c r="F728" t="s">
        <v>24</v>
      </c>
      <c r="H728" t="s">
        <v>24</v>
      </c>
      <c r="I728" t="s">
        <v>89</v>
      </c>
      <c r="J728" t="s">
        <v>78</v>
      </c>
      <c r="K728" t="s">
        <v>24</v>
      </c>
      <c r="L728" t="s">
        <v>161</v>
      </c>
      <c r="M728" t="s">
        <v>97</v>
      </c>
      <c r="N728" t="s">
        <v>92</v>
      </c>
    </row>
    <row r="729" spans="1:14" x14ac:dyDescent="0.2">
      <c r="A729">
        <v>1178407</v>
      </c>
      <c r="B729">
        <f>YEAR(#REF!)</f>
        <v>2019</v>
      </c>
      <c r="C729" t="s">
        <v>511</v>
      </c>
      <c r="D729" s="1">
        <v>43571</v>
      </c>
      <c r="E729" t="s">
        <v>33</v>
      </c>
      <c r="F729" t="s">
        <v>14</v>
      </c>
      <c r="H729" t="s">
        <v>14</v>
      </c>
      <c r="I729" t="s">
        <v>89</v>
      </c>
      <c r="J729" t="s">
        <v>78</v>
      </c>
      <c r="K729" t="s">
        <v>33</v>
      </c>
      <c r="L729" t="s">
        <v>93</v>
      </c>
      <c r="M729" t="s">
        <v>94</v>
      </c>
      <c r="N729" t="s">
        <v>95</v>
      </c>
    </row>
    <row r="730" spans="1:14" x14ac:dyDescent="0.2">
      <c r="A730">
        <v>1178408</v>
      </c>
      <c r="B730">
        <f>YEAR(#REF!)</f>
        <v>2019</v>
      </c>
      <c r="C730" t="s">
        <v>511</v>
      </c>
      <c r="D730" s="1">
        <v>43572</v>
      </c>
      <c r="E730" t="s">
        <v>15</v>
      </c>
      <c r="F730" t="s">
        <v>39</v>
      </c>
      <c r="H730" t="s">
        <v>15</v>
      </c>
      <c r="I730" t="s">
        <v>77</v>
      </c>
      <c r="J730" t="s">
        <v>78</v>
      </c>
      <c r="K730" t="s">
        <v>39</v>
      </c>
      <c r="L730" t="s">
        <v>80</v>
      </c>
      <c r="M730" t="s">
        <v>144</v>
      </c>
      <c r="N730" t="s">
        <v>145</v>
      </c>
    </row>
    <row r="731" spans="1:14" x14ac:dyDescent="0.2">
      <c r="A731">
        <v>1178409</v>
      </c>
      <c r="B731">
        <f>YEAR(#REF!)</f>
        <v>2019</v>
      </c>
      <c r="C731" t="s">
        <v>511</v>
      </c>
      <c r="D731" s="1">
        <v>43573</v>
      </c>
      <c r="E731" t="s">
        <v>24</v>
      </c>
      <c r="F731" t="s">
        <v>49</v>
      </c>
      <c r="H731" t="s">
        <v>24</v>
      </c>
      <c r="I731" t="s">
        <v>77</v>
      </c>
      <c r="J731" t="s">
        <v>78</v>
      </c>
      <c r="K731" t="s">
        <v>24</v>
      </c>
      <c r="L731" t="s">
        <v>364</v>
      </c>
      <c r="M731" t="s">
        <v>292</v>
      </c>
      <c r="N731" t="s">
        <v>88</v>
      </c>
    </row>
    <row r="732" spans="1:14" x14ac:dyDescent="0.2">
      <c r="A732">
        <v>1178410</v>
      </c>
      <c r="B732">
        <f>YEAR(#REF!)</f>
        <v>2019</v>
      </c>
      <c r="C732" t="s">
        <v>511</v>
      </c>
      <c r="D732" s="1">
        <v>43574</v>
      </c>
      <c r="E732" t="s">
        <v>20</v>
      </c>
      <c r="F732" t="s">
        <v>29</v>
      </c>
      <c r="H732" t="s">
        <v>29</v>
      </c>
      <c r="I732" t="s">
        <v>89</v>
      </c>
      <c r="J732" t="s">
        <v>78</v>
      </c>
      <c r="K732" t="s">
        <v>20</v>
      </c>
      <c r="L732" t="s">
        <v>257</v>
      </c>
      <c r="M732" t="s">
        <v>134</v>
      </c>
      <c r="N732" t="s">
        <v>135</v>
      </c>
    </row>
    <row r="733" spans="1:14" x14ac:dyDescent="0.2">
      <c r="A733">
        <v>1178412</v>
      </c>
      <c r="B733">
        <f>YEAR(#REF!)</f>
        <v>2019</v>
      </c>
      <c r="C733" t="s">
        <v>511</v>
      </c>
      <c r="D733" s="1">
        <v>43575</v>
      </c>
      <c r="E733" t="s">
        <v>33</v>
      </c>
      <c r="F733" t="s">
        <v>49</v>
      </c>
      <c r="H733" t="s">
        <v>49</v>
      </c>
      <c r="I733" t="s">
        <v>89</v>
      </c>
      <c r="J733" t="s">
        <v>78</v>
      </c>
      <c r="K733" t="s">
        <v>49</v>
      </c>
      <c r="L733" t="s">
        <v>128</v>
      </c>
      <c r="M733" t="s">
        <v>292</v>
      </c>
      <c r="N733" t="s">
        <v>88</v>
      </c>
    </row>
    <row r="734" spans="1:14" x14ac:dyDescent="0.2">
      <c r="A734">
        <v>1178411</v>
      </c>
      <c r="B734">
        <f>YEAR(#REF!)</f>
        <v>2019</v>
      </c>
      <c r="C734" t="s">
        <v>511</v>
      </c>
      <c r="D734" s="1">
        <v>43575</v>
      </c>
      <c r="E734" t="s">
        <v>24</v>
      </c>
      <c r="F734" t="s">
        <v>14</v>
      </c>
      <c r="H734" t="s">
        <v>14</v>
      </c>
      <c r="I734" t="s">
        <v>89</v>
      </c>
      <c r="J734" t="s">
        <v>78</v>
      </c>
      <c r="K734" t="s">
        <v>14</v>
      </c>
      <c r="L734" t="s">
        <v>237</v>
      </c>
      <c r="M734" t="s">
        <v>153</v>
      </c>
      <c r="N734" t="s">
        <v>85</v>
      </c>
    </row>
    <row r="735" spans="1:14" x14ac:dyDescent="0.2">
      <c r="A735">
        <v>1178413</v>
      </c>
      <c r="B735">
        <f>YEAR(#REF!)</f>
        <v>2019</v>
      </c>
      <c r="C735" t="s">
        <v>511</v>
      </c>
      <c r="D735" s="1">
        <v>43576</v>
      </c>
      <c r="E735" t="s">
        <v>29</v>
      </c>
      <c r="F735" t="s">
        <v>39</v>
      </c>
      <c r="H735" t="s">
        <v>39</v>
      </c>
      <c r="I735" t="s">
        <v>89</v>
      </c>
      <c r="J735" t="s">
        <v>78</v>
      </c>
      <c r="K735" t="s">
        <v>39</v>
      </c>
      <c r="L735" t="s">
        <v>395</v>
      </c>
      <c r="M735" t="s">
        <v>144</v>
      </c>
      <c r="N735" t="s">
        <v>145</v>
      </c>
    </row>
    <row r="736" spans="1:14" x14ac:dyDescent="0.2">
      <c r="A736">
        <v>1178414</v>
      </c>
      <c r="B736">
        <f>YEAR(#REF!)</f>
        <v>2019</v>
      </c>
      <c r="C736" t="s">
        <v>511</v>
      </c>
      <c r="D736" s="1">
        <v>43576</v>
      </c>
      <c r="E736" t="s">
        <v>20</v>
      </c>
      <c r="F736" t="s">
        <v>15</v>
      </c>
      <c r="H736" t="s">
        <v>15</v>
      </c>
      <c r="I736" t="s">
        <v>89</v>
      </c>
      <c r="J736" t="s">
        <v>78</v>
      </c>
      <c r="K736" t="s">
        <v>20</v>
      </c>
      <c r="L736" t="s">
        <v>111</v>
      </c>
      <c r="M736" t="s">
        <v>294</v>
      </c>
      <c r="N736" t="s">
        <v>243</v>
      </c>
    </row>
    <row r="737" spans="1:14" x14ac:dyDescent="0.2">
      <c r="A737">
        <v>1178415</v>
      </c>
      <c r="B737">
        <f>YEAR(#REF!)</f>
        <v>2019</v>
      </c>
      <c r="C737" t="s">
        <v>511</v>
      </c>
      <c r="D737" s="1">
        <v>43577</v>
      </c>
      <c r="E737" t="s">
        <v>14</v>
      </c>
      <c r="F737" t="s">
        <v>49</v>
      </c>
      <c r="H737" t="s">
        <v>49</v>
      </c>
      <c r="I737" t="s">
        <v>89</v>
      </c>
      <c r="J737" t="s">
        <v>78</v>
      </c>
      <c r="K737" t="s">
        <v>49</v>
      </c>
      <c r="L737" t="s">
        <v>183</v>
      </c>
      <c r="M737" t="s">
        <v>153</v>
      </c>
      <c r="N737" t="s">
        <v>85</v>
      </c>
    </row>
    <row r="738" spans="1:14" x14ac:dyDescent="0.2">
      <c r="A738">
        <v>1178416</v>
      </c>
      <c r="B738">
        <f>YEAR(#REF!)</f>
        <v>2019</v>
      </c>
      <c r="C738" t="s">
        <v>511</v>
      </c>
      <c r="D738" s="1">
        <v>43578</v>
      </c>
      <c r="E738" t="s">
        <v>39</v>
      </c>
      <c r="F738" t="s">
        <v>15</v>
      </c>
      <c r="H738" t="s">
        <v>15</v>
      </c>
      <c r="I738" t="s">
        <v>89</v>
      </c>
      <c r="J738" t="s">
        <v>78</v>
      </c>
      <c r="K738" t="s">
        <v>15</v>
      </c>
      <c r="L738" t="s">
        <v>166</v>
      </c>
      <c r="M738" t="s">
        <v>252</v>
      </c>
      <c r="N738" t="s">
        <v>107</v>
      </c>
    </row>
    <row r="739" spans="1:14" x14ac:dyDescent="0.2">
      <c r="A739">
        <v>1178417</v>
      </c>
      <c r="B739">
        <f>YEAR(#REF!)</f>
        <v>2019</v>
      </c>
      <c r="C739" t="s">
        <v>511</v>
      </c>
      <c r="D739" s="1">
        <v>43579</v>
      </c>
      <c r="E739" t="s">
        <v>20</v>
      </c>
      <c r="F739" t="s">
        <v>33</v>
      </c>
      <c r="H739" t="s">
        <v>33</v>
      </c>
      <c r="I739" t="s">
        <v>89</v>
      </c>
      <c r="J739" t="s">
        <v>78</v>
      </c>
      <c r="K739" t="s">
        <v>20</v>
      </c>
      <c r="L739" t="s">
        <v>38</v>
      </c>
      <c r="M739" t="s">
        <v>294</v>
      </c>
      <c r="N739" t="s">
        <v>243</v>
      </c>
    </row>
    <row r="740" spans="1:14" x14ac:dyDescent="0.2">
      <c r="A740">
        <v>1178418</v>
      </c>
      <c r="B740">
        <f>YEAR(#REF!)</f>
        <v>2019</v>
      </c>
      <c r="C740" t="s">
        <v>511</v>
      </c>
      <c r="D740" s="1">
        <v>43580</v>
      </c>
      <c r="E740" t="s">
        <v>29</v>
      </c>
      <c r="F740" t="s">
        <v>14</v>
      </c>
      <c r="H740" t="s">
        <v>14</v>
      </c>
      <c r="I740" t="s">
        <v>89</v>
      </c>
      <c r="J740" t="s">
        <v>78</v>
      </c>
      <c r="K740" t="s">
        <v>14</v>
      </c>
      <c r="L740" t="s">
        <v>388</v>
      </c>
      <c r="M740" t="s">
        <v>134</v>
      </c>
      <c r="N740" t="s">
        <v>135</v>
      </c>
    </row>
    <row r="741" spans="1:14" x14ac:dyDescent="0.2">
      <c r="A741">
        <v>1178419</v>
      </c>
      <c r="B741">
        <f>YEAR(#REF!)</f>
        <v>2019</v>
      </c>
      <c r="C741" t="s">
        <v>511</v>
      </c>
      <c r="D741" s="1">
        <v>43581</v>
      </c>
      <c r="E741" t="s">
        <v>24</v>
      </c>
      <c r="F741" t="s">
        <v>15</v>
      </c>
      <c r="H741" t="s">
        <v>15</v>
      </c>
      <c r="I741" t="s">
        <v>89</v>
      </c>
      <c r="J741" t="s">
        <v>78</v>
      </c>
      <c r="K741" t="s">
        <v>24</v>
      </c>
      <c r="L741" t="s">
        <v>96</v>
      </c>
      <c r="M741" t="s">
        <v>252</v>
      </c>
      <c r="N741" t="s">
        <v>107</v>
      </c>
    </row>
    <row r="742" spans="1:14" x14ac:dyDescent="0.2">
      <c r="A742">
        <v>1178420</v>
      </c>
      <c r="B742">
        <f>YEAR(#REF!)</f>
        <v>2019</v>
      </c>
      <c r="C742" t="s">
        <v>511</v>
      </c>
      <c r="D742" s="1">
        <v>43582</v>
      </c>
      <c r="E742" t="s">
        <v>39</v>
      </c>
      <c r="F742" t="s">
        <v>14</v>
      </c>
      <c r="H742" t="s">
        <v>14</v>
      </c>
      <c r="I742" t="s">
        <v>89</v>
      </c>
      <c r="J742" t="s">
        <v>78</v>
      </c>
      <c r="K742" t="s">
        <v>14</v>
      </c>
      <c r="L742" t="s">
        <v>186</v>
      </c>
      <c r="M742" t="s">
        <v>153</v>
      </c>
      <c r="N742" t="s">
        <v>85</v>
      </c>
    </row>
    <row r="743" spans="1:14" x14ac:dyDescent="0.2">
      <c r="A743">
        <v>1178421</v>
      </c>
      <c r="B743">
        <f>YEAR(#REF!)</f>
        <v>2019</v>
      </c>
      <c r="C743" t="s">
        <v>511</v>
      </c>
      <c r="D743" s="1">
        <v>43583</v>
      </c>
      <c r="E743" t="s">
        <v>49</v>
      </c>
      <c r="F743" t="s">
        <v>20</v>
      </c>
      <c r="H743" t="s">
        <v>49</v>
      </c>
      <c r="I743" t="s">
        <v>77</v>
      </c>
      <c r="J743" t="s">
        <v>78</v>
      </c>
      <c r="K743" t="s">
        <v>49</v>
      </c>
      <c r="L743" t="s">
        <v>90</v>
      </c>
      <c r="M743" t="s">
        <v>292</v>
      </c>
      <c r="N743" t="s">
        <v>88</v>
      </c>
    </row>
    <row r="744" spans="1:14" x14ac:dyDescent="0.2">
      <c r="A744">
        <v>1178422</v>
      </c>
      <c r="B744">
        <f>YEAR(#REF!)</f>
        <v>2019</v>
      </c>
      <c r="C744" t="s">
        <v>511</v>
      </c>
      <c r="D744" s="1">
        <v>43583</v>
      </c>
      <c r="E744" t="s">
        <v>29</v>
      </c>
      <c r="F744" t="s">
        <v>24</v>
      </c>
      <c r="H744" t="s">
        <v>24</v>
      </c>
      <c r="I744" t="s">
        <v>89</v>
      </c>
      <c r="J744" t="s">
        <v>78</v>
      </c>
      <c r="K744" t="s">
        <v>29</v>
      </c>
      <c r="L744" t="s">
        <v>140</v>
      </c>
      <c r="M744" t="s">
        <v>134</v>
      </c>
      <c r="N744" t="s">
        <v>135</v>
      </c>
    </row>
    <row r="745" spans="1:14" x14ac:dyDescent="0.2">
      <c r="A745">
        <v>1178423</v>
      </c>
      <c r="B745">
        <f>YEAR(#REF!)</f>
        <v>2019</v>
      </c>
      <c r="C745" t="s">
        <v>511</v>
      </c>
      <c r="D745" s="1">
        <v>43584</v>
      </c>
      <c r="E745" t="s">
        <v>39</v>
      </c>
      <c r="F745" t="s">
        <v>33</v>
      </c>
      <c r="H745" t="s">
        <v>33</v>
      </c>
      <c r="I745" t="s">
        <v>89</v>
      </c>
      <c r="J745" t="s">
        <v>78</v>
      </c>
      <c r="K745" t="s">
        <v>39</v>
      </c>
      <c r="L745" t="s">
        <v>80</v>
      </c>
      <c r="M745" t="s">
        <v>144</v>
      </c>
      <c r="N745" t="s">
        <v>145</v>
      </c>
    </row>
    <row r="746" spans="1:14" x14ac:dyDescent="0.2">
      <c r="A746">
        <v>1178424</v>
      </c>
      <c r="B746">
        <f>YEAR(#REF!)</f>
        <v>2019</v>
      </c>
      <c r="C746" t="s">
        <v>511</v>
      </c>
      <c r="D746" s="1">
        <v>43585</v>
      </c>
      <c r="E746" t="s">
        <v>20</v>
      </c>
      <c r="F746" t="s">
        <v>14</v>
      </c>
      <c r="H746" t="s">
        <v>14</v>
      </c>
      <c r="I746" t="s">
        <v>89</v>
      </c>
      <c r="J746" t="s">
        <v>180</v>
      </c>
      <c r="K746" t="s">
        <v>79</v>
      </c>
      <c r="L746" t="s">
        <v>181</v>
      </c>
      <c r="M746" t="s">
        <v>294</v>
      </c>
      <c r="N746" t="s">
        <v>243</v>
      </c>
    </row>
    <row r="747" spans="1:14" x14ac:dyDescent="0.2">
      <c r="A747">
        <v>1178425</v>
      </c>
      <c r="B747">
        <f>YEAR(#REF!)</f>
        <v>2019</v>
      </c>
      <c r="C747" t="s">
        <v>511</v>
      </c>
      <c r="D747" s="1">
        <v>43586</v>
      </c>
      <c r="E747" t="s">
        <v>15</v>
      </c>
      <c r="F747" t="s">
        <v>49</v>
      </c>
      <c r="H747" t="s">
        <v>49</v>
      </c>
      <c r="I747" t="s">
        <v>89</v>
      </c>
      <c r="J747" t="s">
        <v>78</v>
      </c>
      <c r="K747" t="s">
        <v>15</v>
      </c>
      <c r="L747" t="s">
        <v>119</v>
      </c>
      <c r="M747" t="s">
        <v>252</v>
      </c>
      <c r="N747" t="s">
        <v>107</v>
      </c>
    </row>
    <row r="748" spans="1:14" x14ac:dyDescent="0.2">
      <c r="A748">
        <v>1178426</v>
      </c>
      <c r="B748">
        <f>YEAR(#REF!)</f>
        <v>2019</v>
      </c>
      <c r="C748" t="s">
        <v>511</v>
      </c>
      <c r="D748" s="1">
        <v>43587</v>
      </c>
      <c r="E748" t="s">
        <v>24</v>
      </c>
      <c r="F748" t="s">
        <v>39</v>
      </c>
      <c r="H748" t="s">
        <v>24</v>
      </c>
      <c r="I748" t="s">
        <v>77</v>
      </c>
      <c r="J748" t="s">
        <v>310</v>
      </c>
      <c r="K748" t="s">
        <v>79</v>
      </c>
      <c r="L748" t="s">
        <v>108</v>
      </c>
      <c r="M748" t="s">
        <v>97</v>
      </c>
      <c r="N748" t="s">
        <v>92</v>
      </c>
    </row>
    <row r="749" spans="1:14" x14ac:dyDescent="0.2">
      <c r="A749">
        <v>1178427</v>
      </c>
      <c r="B749">
        <f>YEAR(#REF!)</f>
        <v>2019</v>
      </c>
      <c r="C749" t="s">
        <v>511</v>
      </c>
      <c r="D749" s="1">
        <v>43588</v>
      </c>
      <c r="E749" t="s">
        <v>33</v>
      </c>
      <c r="F749" t="s">
        <v>29</v>
      </c>
      <c r="H749" t="s">
        <v>29</v>
      </c>
      <c r="I749" t="s">
        <v>89</v>
      </c>
      <c r="J749" t="s">
        <v>78</v>
      </c>
      <c r="K749" t="s">
        <v>29</v>
      </c>
      <c r="L749" t="s">
        <v>59</v>
      </c>
      <c r="M749" t="s">
        <v>94</v>
      </c>
      <c r="N749" t="s">
        <v>95</v>
      </c>
    </row>
    <row r="750" spans="1:14" x14ac:dyDescent="0.2">
      <c r="A750">
        <v>1178429</v>
      </c>
      <c r="B750">
        <f>YEAR(#REF!)</f>
        <v>2019</v>
      </c>
      <c r="C750" t="s">
        <v>511</v>
      </c>
      <c r="D750" s="1">
        <v>43589</v>
      </c>
      <c r="E750" t="s">
        <v>39</v>
      </c>
      <c r="F750" t="s">
        <v>20</v>
      </c>
      <c r="H750" t="s">
        <v>20</v>
      </c>
      <c r="I750" t="s">
        <v>89</v>
      </c>
      <c r="J750" t="s">
        <v>78</v>
      </c>
      <c r="K750" t="s">
        <v>20</v>
      </c>
      <c r="L750" t="s">
        <v>289</v>
      </c>
      <c r="M750" t="s">
        <v>294</v>
      </c>
      <c r="N750" t="s">
        <v>243</v>
      </c>
    </row>
    <row r="751" spans="1:14" x14ac:dyDescent="0.2">
      <c r="A751">
        <v>1178428</v>
      </c>
      <c r="B751">
        <f>YEAR(#REF!)</f>
        <v>2019</v>
      </c>
      <c r="C751" t="s">
        <v>511</v>
      </c>
      <c r="D751" s="1">
        <v>43589</v>
      </c>
      <c r="E751" t="s">
        <v>14</v>
      </c>
      <c r="F751" t="s">
        <v>49</v>
      </c>
      <c r="H751" t="s">
        <v>14</v>
      </c>
      <c r="I751" t="s">
        <v>77</v>
      </c>
      <c r="J751" t="s">
        <v>78</v>
      </c>
      <c r="K751" t="s">
        <v>49</v>
      </c>
      <c r="L751" t="s">
        <v>151</v>
      </c>
      <c r="M751" t="s">
        <v>292</v>
      </c>
      <c r="N751" t="s">
        <v>88</v>
      </c>
    </row>
    <row r="752" spans="1:14" x14ac:dyDescent="0.2">
      <c r="A752">
        <v>1178431</v>
      </c>
      <c r="B752">
        <f>YEAR(#REF!)</f>
        <v>2019</v>
      </c>
      <c r="C752" t="s">
        <v>511</v>
      </c>
      <c r="D752" s="1">
        <v>43590</v>
      </c>
      <c r="E752" t="s">
        <v>29</v>
      </c>
      <c r="F752" t="s">
        <v>24</v>
      </c>
      <c r="H752" t="s">
        <v>24</v>
      </c>
      <c r="I752" t="s">
        <v>89</v>
      </c>
      <c r="J752" t="s">
        <v>78</v>
      </c>
      <c r="K752" t="s">
        <v>24</v>
      </c>
      <c r="L752" t="s">
        <v>364</v>
      </c>
      <c r="M752" t="s">
        <v>97</v>
      </c>
      <c r="N752" t="s">
        <v>92</v>
      </c>
    </row>
    <row r="753" spans="1:14" x14ac:dyDescent="0.2">
      <c r="A753">
        <v>1178430</v>
      </c>
      <c r="B753">
        <f>YEAR(#REF!)</f>
        <v>2019</v>
      </c>
      <c r="C753" t="s">
        <v>511</v>
      </c>
      <c r="D753" s="1">
        <v>43590</v>
      </c>
      <c r="E753" t="s">
        <v>15</v>
      </c>
      <c r="F753" t="s">
        <v>33</v>
      </c>
      <c r="H753" t="s">
        <v>33</v>
      </c>
      <c r="I753" t="s">
        <v>89</v>
      </c>
      <c r="J753" t="s">
        <v>78</v>
      </c>
      <c r="K753" t="s">
        <v>33</v>
      </c>
      <c r="L753" t="s">
        <v>50</v>
      </c>
      <c r="M753" t="s">
        <v>94</v>
      </c>
      <c r="N753" t="s">
        <v>95</v>
      </c>
    </row>
    <row r="754" spans="1:14" x14ac:dyDescent="0.2">
      <c r="A754">
        <v>1181764</v>
      </c>
      <c r="B754">
        <f>YEAR(#REF!)</f>
        <v>2019</v>
      </c>
      <c r="C754" t="s">
        <v>511</v>
      </c>
      <c r="D754" s="1">
        <v>43592</v>
      </c>
      <c r="E754" t="s">
        <v>15</v>
      </c>
      <c r="F754" t="s">
        <v>24</v>
      </c>
      <c r="H754" t="s">
        <v>15</v>
      </c>
      <c r="I754" t="s">
        <v>77</v>
      </c>
      <c r="J754" t="s">
        <v>78</v>
      </c>
      <c r="K754" t="s">
        <v>24</v>
      </c>
      <c r="L754" t="s">
        <v>287</v>
      </c>
      <c r="M754" t="s">
        <v>252</v>
      </c>
      <c r="N754" t="s">
        <v>107</v>
      </c>
    </row>
    <row r="755" spans="1:14" x14ac:dyDescent="0.2">
      <c r="A755">
        <v>1181766</v>
      </c>
      <c r="B755">
        <f>YEAR(#REF!)</f>
        <v>2019</v>
      </c>
      <c r="C755" t="s">
        <v>511</v>
      </c>
      <c r="D755" s="1">
        <v>43593</v>
      </c>
      <c r="E755" t="s">
        <v>39</v>
      </c>
      <c r="F755" t="s">
        <v>49</v>
      </c>
      <c r="H755" t="s">
        <v>49</v>
      </c>
      <c r="I755" t="s">
        <v>89</v>
      </c>
      <c r="J755" t="s">
        <v>78</v>
      </c>
      <c r="K755" t="s">
        <v>49</v>
      </c>
      <c r="L755" t="s">
        <v>183</v>
      </c>
      <c r="M755" t="s">
        <v>126</v>
      </c>
      <c r="N755" t="s">
        <v>127</v>
      </c>
    </row>
    <row r="756" spans="1:14" x14ac:dyDescent="0.2">
      <c r="A756">
        <v>1181767</v>
      </c>
      <c r="B756">
        <f>YEAR(#REF!)</f>
        <v>2019</v>
      </c>
      <c r="C756" t="s">
        <v>511</v>
      </c>
      <c r="D756" s="1">
        <v>43595</v>
      </c>
      <c r="E756" t="s">
        <v>49</v>
      </c>
      <c r="F756" t="s">
        <v>15</v>
      </c>
      <c r="H756" t="s">
        <v>15</v>
      </c>
      <c r="I756" t="s">
        <v>89</v>
      </c>
      <c r="J756" t="s">
        <v>78</v>
      </c>
      <c r="K756" t="s">
        <v>15</v>
      </c>
      <c r="L756" t="s">
        <v>189</v>
      </c>
      <c r="M756" t="s">
        <v>126</v>
      </c>
      <c r="N756" t="s">
        <v>127</v>
      </c>
    </row>
    <row r="757" spans="1:14" x14ac:dyDescent="0.2">
      <c r="A757">
        <v>1181768</v>
      </c>
      <c r="B757">
        <f>YEAR(#REF!)</f>
        <v>2019</v>
      </c>
      <c r="C757" t="s">
        <v>511</v>
      </c>
      <c r="D757" s="1">
        <v>43597</v>
      </c>
      <c r="E757" t="s">
        <v>24</v>
      </c>
      <c r="F757" t="s">
        <v>15</v>
      </c>
      <c r="H757" t="s">
        <v>24</v>
      </c>
      <c r="I757" t="s">
        <v>77</v>
      </c>
      <c r="J757" t="s">
        <v>78</v>
      </c>
      <c r="K757" t="s">
        <v>24</v>
      </c>
      <c r="L757" t="s">
        <v>108</v>
      </c>
      <c r="M757" t="s">
        <v>144</v>
      </c>
      <c r="N757" t="s">
        <v>145</v>
      </c>
    </row>
    <row r="758" spans="1:14" x14ac:dyDescent="0.2">
      <c r="A758">
        <v>1216492</v>
      </c>
      <c r="B758">
        <f>YEAR(#REF!)</f>
        <v>2020</v>
      </c>
      <c r="C758" t="s">
        <v>512</v>
      </c>
      <c r="D758" s="1">
        <v>44093</v>
      </c>
      <c r="E758" t="s">
        <v>24</v>
      </c>
      <c r="F758" t="s">
        <v>15</v>
      </c>
      <c r="H758" t="s">
        <v>15</v>
      </c>
      <c r="I758" t="s">
        <v>89</v>
      </c>
      <c r="J758" t="s">
        <v>78</v>
      </c>
      <c r="K758" t="s">
        <v>15</v>
      </c>
      <c r="L758" t="s">
        <v>231</v>
      </c>
      <c r="M758" t="s">
        <v>103</v>
      </c>
      <c r="N758" t="s">
        <v>104</v>
      </c>
    </row>
    <row r="759" spans="1:14" x14ac:dyDescent="0.2">
      <c r="A759">
        <v>1216493</v>
      </c>
      <c r="B759">
        <f>YEAR(#REF!)</f>
        <v>2020</v>
      </c>
      <c r="C759" t="s">
        <v>512</v>
      </c>
      <c r="D759" s="1">
        <v>44094</v>
      </c>
      <c r="E759" t="s">
        <v>49</v>
      </c>
      <c r="F759" t="s">
        <v>33</v>
      </c>
      <c r="H759" t="s">
        <v>33</v>
      </c>
      <c r="I759" t="s">
        <v>89</v>
      </c>
      <c r="J759" t="s">
        <v>310</v>
      </c>
      <c r="K759" t="s">
        <v>79</v>
      </c>
      <c r="L759" t="s">
        <v>245</v>
      </c>
      <c r="M759" t="s">
        <v>157</v>
      </c>
      <c r="N759" t="s">
        <v>79</v>
      </c>
    </row>
    <row r="760" spans="1:14" x14ac:dyDescent="0.2">
      <c r="A760">
        <v>1216534</v>
      </c>
      <c r="B760">
        <f>YEAR(#REF!)</f>
        <v>2020</v>
      </c>
      <c r="C760" t="s">
        <v>512</v>
      </c>
      <c r="D760" s="1">
        <v>44095</v>
      </c>
      <c r="E760" t="s">
        <v>20</v>
      </c>
      <c r="F760" t="s">
        <v>39</v>
      </c>
      <c r="H760" t="s">
        <v>39</v>
      </c>
      <c r="I760" t="s">
        <v>89</v>
      </c>
      <c r="J760" t="s">
        <v>78</v>
      </c>
      <c r="K760" t="s">
        <v>20</v>
      </c>
      <c r="L760" t="s">
        <v>333</v>
      </c>
      <c r="M760" t="s">
        <v>157</v>
      </c>
      <c r="N760" t="s">
        <v>79</v>
      </c>
    </row>
    <row r="761" spans="1:14" x14ac:dyDescent="0.2">
      <c r="A761">
        <v>1216496</v>
      </c>
      <c r="B761">
        <f>YEAR(#REF!)</f>
        <v>2020</v>
      </c>
      <c r="C761" t="s">
        <v>512</v>
      </c>
      <c r="D761" s="1">
        <v>44096</v>
      </c>
      <c r="E761" t="s">
        <v>14</v>
      </c>
      <c r="F761" t="s">
        <v>15</v>
      </c>
      <c r="H761" t="s">
        <v>15</v>
      </c>
      <c r="I761" t="s">
        <v>89</v>
      </c>
      <c r="J761" t="s">
        <v>78</v>
      </c>
      <c r="K761" t="s">
        <v>14</v>
      </c>
      <c r="L761" t="s">
        <v>187</v>
      </c>
      <c r="M761" t="s">
        <v>168</v>
      </c>
      <c r="N761" t="s">
        <v>79</v>
      </c>
    </row>
    <row r="762" spans="1:14" x14ac:dyDescent="0.2">
      <c r="A762">
        <v>1216508</v>
      </c>
      <c r="B762">
        <f>YEAR(#REF!)</f>
        <v>2020</v>
      </c>
      <c r="C762" t="s">
        <v>512</v>
      </c>
      <c r="D762" s="1">
        <v>44097</v>
      </c>
      <c r="E762" t="s">
        <v>24</v>
      </c>
      <c r="F762" t="s">
        <v>29</v>
      </c>
      <c r="H762" t="s">
        <v>29</v>
      </c>
      <c r="I762" t="s">
        <v>89</v>
      </c>
      <c r="J762" t="s">
        <v>78</v>
      </c>
      <c r="K762" t="s">
        <v>24</v>
      </c>
      <c r="L762" t="s">
        <v>96</v>
      </c>
      <c r="M762" t="s">
        <v>103</v>
      </c>
      <c r="N762" t="s">
        <v>104</v>
      </c>
    </row>
    <row r="763" spans="1:14" x14ac:dyDescent="0.2">
      <c r="A763">
        <v>1216510</v>
      </c>
      <c r="B763">
        <f>YEAR(#REF!)</f>
        <v>2020</v>
      </c>
      <c r="C763" t="s">
        <v>512</v>
      </c>
      <c r="D763" s="1">
        <v>44098</v>
      </c>
      <c r="E763" t="s">
        <v>33</v>
      </c>
      <c r="F763" t="s">
        <v>20</v>
      </c>
      <c r="H763" t="s">
        <v>20</v>
      </c>
      <c r="I763" t="s">
        <v>89</v>
      </c>
      <c r="J763" t="s">
        <v>78</v>
      </c>
      <c r="K763" t="s">
        <v>33</v>
      </c>
      <c r="L763" t="s">
        <v>50</v>
      </c>
      <c r="M763" t="s">
        <v>157</v>
      </c>
      <c r="N763" t="s">
        <v>79</v>
      </c>
    </row>
    <row r="764" spans="1:14" x14ac:dyDescent="0.2">
      <c r="A764">
        <v>1216539</v>
      </c>
      <c r="B764">
        <f>YEAR(#REF!)</f>
        <v>2020</v>
      </c>
      <c r="C764" t="s">
        <v>512</v>
      </c>
      <c r="D764" s="1">
        <v>44099</v>
      </c>
      <c r="E764" t="s">
        <v>49</v>
      </c>
      <c r="F764" t="s">
        <v>15</v>
      </c>
      <c r="H764" t="s">
        <v>15</v>
      </c>
      <c r="I764" t="s">
        <v>89</v>
      </c>
      <c r="J764" t="s">
        <v>78</v>
      </c>
      <c r="K764" t="s">
        <v>49</v>
      </c>
      <c r="L764" t="s">
        <v>363</v>
      </c>
      <c r="M764" t="s">
        <v>157</v>
      </c>
      <c r="N764" t="s">
        <v>79</v>
      </c>
    </row>
    <row r="765" spans="1:14" x14ac:dyDescent="0.2">
      <c r="A765">
        <v>1216545</v>
      </c>
      <c r="B765">
        <f>YEAR(#REF!)</f>
        <v>2020</v>
      </c>
      <c r="C765" t="s">
        <v>512</v>
      </c>
      <c r="D765" s="1">
        <v>44100</v>
      </c>
      <c r="E765" t="s">
        <v>39</v>
      </c>
      <c r="F765" t="s">
        <v>29</v>
      </c>
      <c r="H765" t="s">
        <v>39</v>
      </c>
      <c r="I765" t="s">
        <v>77</v>
      </c>
      <c r="J765" t="s">
        <v>78</v>
      </c>
      <c r="K765" t="s">
        <v>29</v>
      </c>
      <c r="L765" t="s">
        <v>59</v>
      </c>
      <c r="M765" t="s">
        <v>103</v>
      </c>
      <c r="N765" t="s">
        <v>104</v>
      </c>
    </row>
    <row r="766" spans="1:14" x14ac:dyDescent="0.2">
      <c r="A766">
        <v>1216527</v>
      </c>
      <c r="B766">
        <f>YEAR(#REF!)</f>
        <v>2020</v>
      </c>
      <c r="C766" t="s">
        <v>512</v>
      </c>
      <c r="D766" s="1">
        <v>44101</v>
      </c>
      <c r="E766" t="s">
        <v>33</v>
      </c>
      <c r="F766" t="s">
        <v>14</v>
      </c>
      <c r="H766" t="s">
        <v>14</v>
      </c>
      <c r="I766" t="s">
        <v>89</v>
      </c>
      <c r="J766" t="s">
        <v>78</v>
      </c>
      <c r="K766" t="s">
        <v>14</v>
      </c>
      <c r="L766" t="s">
        <v>187</v>
      </c>
      <c r="M766" t="s">
        <v>168</v>
      </c>
      <c r="N766" t="s">
        <v>79</v>
      </c>
    </row>
    <row r="767" spans="1:14" x14ac:dyDescent="0.2">
      <c r="A767">
        <v>1216547</v>
      </c>
      <c r="B767">
        <f>YEAR(#REF!)</f>
        <v>2020</v>
      </c>
      <c r="C767" t="s">
        <v>512</v>
      </c>
      <c r="D767" s="1">
        <v>44102</v>
      </c>
      <c r="E767" t="s">
        <v>20</v>
      </c>
      <c r="F767" t="s">
        <v>24</v>
      </c>
      <c r="H767" t="s">
        <v>24</v>
      </c>
      <c r="I767" t="s">
        <v>89</v>
      </c>
      <c r="J767" t="s">
        <v>310</v>
      </c>
      <c r="K767" t="s">
        <v>79</v>
      </c>
      <c r="L767" t="s">
        <v>38</v>
      </c>
      <c r="M767" t="s">
        <v>157</v>
      </c>
      <c r="N767" t="s">
        <v>79</v>
      </c>
    </row>
    <row r="768" spans="1:14" x14ac:dyDescent="0.2">
      <c r="A768">
        <v>1216532</v>
      </c>
      <c r="B768">
        <f>YEAR(#REF!)</f>
        <v>2020</v>
      </c>
      <c r="C768" t="s">
        <v>512</v>
      </c>
      <c r="D768" s="1">
        <v>44103</v>
      </c>
      <c r="E768" t="s">
        <v>39</v>
      </c>
      <c r="F768" t="s">
        <v>49</v>
      </c>
      <c r="H768" t="s">
        <v>49</v>
      </c>
      <c r="I768" t="s">
        <v>89</v>
      </c>
      <c r="J768" t="s">
        <v>78</v>
      </c>
      <c r="K768" t="s">
        <v>39</v>
      </c>
      <c r="L768" t="s">
        <v>296</v>
      </c>
      <c r="M768" t="s">
        <v>103</v>
      </c>
      <c r="N768" t="s">
        <v>104</v>
      </c>
    </row>
    <row r="769" spans="1:14" x14ac:dyDescent="0.2">
      <c r="A769">
        <v>1216504</v>
      </c>
      <c r="B769">
        <f>YEAR(#REF!)</f>
        <v>2020</v>
      </c>
      <c r="C769" t="s">
        <v>512</v>
      </c>
      <c r="D769" s="1">
        <v>44104</v>
      </c>
      <c r="E769" t="s">
        <v>29</v>
      </c>
      <c r="F769" t="s">
        <v>14</v>
      </c>
      <c r="H769" t="s">
        <v>14</v>
      </c>
      <c r="I769" t="s">
        <v>89</v>
      </c>
      <c r="J769" t="s">
        <v>78</v>
      </c>
      <c r="K769" t="s">
        <v>29</v>
      </c>
      <c r="L769" t="s">
        <v>298</v>
      </c>
      <c r="M769" t="s">
        <v>157</v>
      </c>
      <c r="N769" t="s">
        <v>79</v>
      </c>
    </row>
    <row r="770" spans="1:14" x14ac:dyDescent="0.2">
      <c r="A770">
        <v>1216503</v>
      </c>
      <c r="B770">
        <f>YEAR(#REF!)</f>
        <v>2020</v>
      </c>
      <c r="C770" t="s">
        <v>512</v>
      </c>
      <c r="D770" s="1">
        <v>44105</v>
      </c>
      <c r="E770" t="s">
        <v>24</v>
      </c>
      <c r="F770" t="s">
        <v>33</v>
      </c>
      <c r="H770" t="s">
        <v>33</v>
      </c>
      <c r="I770" t="s">
        <v>89</v>
      </c>
      <c r="J770" t="s">
        <v>78</v>
      </c>
      <c r="K770" t="s">
        <v>24</v>
      </c>
      <c r="L770" t="s">
        <v>123</v>
      </c>
      <c r="M770" t="s">
        <v>103</v>
      </c>
      <c r="N770" t="s">
        <v>104</v>
      </c>
    </row>
    <row r="771" spans="1:14" x14ac:dyDescent="0.2">
      <c r="A771">
        <v>1216516</v>
      </c>
      <c r="B771">
        <f>YEAR(#REF!)</f>
        <v>2020</v>
      </c>
      <c r="C771" t="s">
        <v>512</v>
      </c>
      <c r="D771" s="1">
        <v>44106</v>
      </c>
      <c r="E771" t="s">
        <v>39</v>
      </c>
      <c r="F771" t="s">
        <v>15</v>
      </c>
      <c r="H771" t="s">
        <v>39</v>
      </c>
      <c r="I771" t="s">
        <v>77</v>
      </c>
      <c r="J771" t="s">
        <v>78</v>
      </c>
      <c r="K771" t="s">
        <v>39</v>
      </c>
      <c r="L771" t="s">
        <v>418</v>
      </c>
      <c r="M771" t="s">
        <v>157</v>
      </c>
      <c r="N771" t="s">
        <v>79</v>
      </c>
    </row>
    <row r="772" spans="1:14" x14ac:dyDescent="0.2">
      <c r="A772">
        <v>1216515</v>
      </c>
      <c r="B772">
        <f>YEAR(#REF!)</f>
        <v>2020</v>
      </c>
      <c r="C772" t="s">
        <v>512</v>
      </c>
      <c r="D772" s="1">
        <v>44107</v>
      </c>
      <c r="E772" t="s">
        <v>49</v>
      </c>
      <c r="F772" t="s">
        <v>29</v>
      </c>
      <c r="H772" t="s">
        <v>29</v>
      </c>
      <c r="I772" t="s">
        <v>89</v>
      </c>
      <c r="J772" t="s">
        <v>78</v>
      </c>
      <c r="K772" t="s">
        <v>49</v>
      </c>
      <c r="L772" t="s">
        <v>128</v>
      </c>
      <c r="M772" t="s">
        <v>168</v>
      </c>
      <c r="N772" t="s">
        <v>79</v>
      </c>
    </row>
    <row r="773" spans="1:14" x14ac:dyDescent="0.2">
      <c r="A773">
        <v>1216514</v>
      </c>
      <c r="B773">
        <f>YEAR(#REF!)</f>
        <v>2020</v>
      </c>
      <c r="C773" t="s">
        <v>512</v>
      </c>
      <c r="D773" s="1">
        <v>44107</v>
      </c>
      <c r="E773" t="s">
        <v>14</v>
      </c>
      <c r="F773" t="s">
        <v>20</v>
      </c>
      <c r="H773" t="s">
        <v>14</v>
      </c>
      <c r="I773" t="s">
        <v>77</v>
      </c>
      <c r="J773" t="s">
        <v>78</v>
      </c>
      <c r="K773" t="s">
        <v>20</v>
      </c>
      <c r="L773" t="s">
        <v>333</v>
      </c>
      <c r="M773" t="s">
        <v>103</v>
      </c>
      <c r="N773" t="s">
        <v>104</v>
      </c>
    </row>
    <row r="774" spans="1:14" x14ac:dyDescent="0.2">
      <c r="A774">
        <v>1216538</v>
      </c>
      <c r="B774">
        <f>YEAR(#REF!)</f>
        <v>2020</v>
      </c>
      <c r="C774" t="s">
        <v>512</v>
      </c>
      <c r="D774" s="1">
        <v>44108</v>
      </c>
      <c r="E774" t="s">
        <v>24</v>
      </c>
      <c r="F774" t="s">
        <v>39</v>
      </c>
      <c r="H774" t="s">
        <v>24</v>
      </c>
      <c r="I774" t="s">
        <v>77</v>
      </c>
      <c r="J774" t="s">
        <v>78</v>
      </c>
      <c r="K774" t="s">
        <v>24</v>
      </c>
      <c r="L774" t="s">
        <v>207</v>
      </c>
      <c r="M774" t="s">
        <v>168</v>
      </c>
      <c r="N774" t="s">
        <v>79</v>
      </c>
    </row>
    <row r="775" spans="1:14" x14ac:dyDescent="0.2">
      <c r="A775">
        <v>1216513</v>
      </c>
      <c r="B775">
        <f>YEAR(#REF!)</f>
        <v>2020</v>
      </c>
      <c r="C775" t="s">
        <v>512</v>
      </c>
      <c r="D775" s="1">
        <v>44108</v>
      </c>
      <c r="E775" t="s">
        <v>33</v>
      </c>
      <c r="F775" t="s">
        <v>15</v>
      </c>
      <c r="H775" t="s">
        <v>33</v>
      </c>
      <c r="I775" t="s">
        <v>77</v>
      </c>
      <c r="J775" t="s">
        <v>78</v>
      </c>
      <c r="K775" t="s">
        <v>15</v>
      </c>
      <c r="L775" t="s">
        <v>166</v>
      </c>
      <c r="M775" t="s">
        <v>157</v>
      </c>
      <c r="N775" t="s">
        <v>79</v>
      </c>
    </row>
    <row r="776" spans="1:14" x14ac:dyDescent="0.2">
      <c r="A776">
        <v>1216519</v>
      </c>
      <c r="B776">
        <f>YEAR(#REF!)</f>
        <v>2020</v>
      </c>
      <c r="C776" t="s">
        <v>512</v>
      </c>
      <c r="D776" s="1">
        <v>44109</v>
      </c>
      <c r="E776" t="s">
        <v>49</v>
      </c>
      <c r="F776" t="s">
        <v>20</v>
      </c>
      <c r="H776" t="s">
        <v>20</v>
      </c>
      <c r="I776" t="s">
        <v>89</v>
      </c>
      <c r="J776" t="s">
        <v>78</v>
      </c>
      <c r="K776" t="s">
        <v>49</v>
      </c>
      <c r="L776" t="s">
        <v>137</v>
      </c>
      <c r="M776" t="s">
        <v>157</v>
      </c>
      <c r="N776" t="s">
        <v>79</v>
      </c>
    </row>
    <row r="777" spans="1:14" x14ac:dyDescent="0.2">
      <c r="A777">
        <v>1216511</v>
      </c>
      <c r="B777">
        <f>YEAR(#REF!)</f>
        <v>2020</v>
      </c>
      <c r="C777" t="s">
        <v>512</v>
      </c>
      <c r="D777" s="1">
        <v>44110</v>
      </c>
      <c r="E777" t="s">
        <v>24</v>
      </c>
      <c r="F777" t="s">
        <v>14</v>
      </c>
      <c r="H777" t="s">
        <v>24</v>
      </c>
      <c r="I777" t="s">
        <v>77</v>
      </c>
      <c r="J777" t="s">
        <v>78</v>
      </c>
      <c r="K777" t="s">
        <v>24</v>
      </c>
      <c r="L777" t="s">
        <v>287</v>
      </c>
      <c r="M777" t="s">
        <v>103</v>
      </c>
      <c r="N777" t="s">
        <v>104</v>
      </c>
    </row>
    <row r="778" spans="1:14" x14ac:dyDescent="0.2">
      <c r="A778">
        <v>1216501</v>
      </c>
      <c r="B778">
        <f>YEAR(#REF!)</f>
        <v>2020</v>
      </c>
      <c r="C778" t="s">
        <v>512</v>
      </c>
      <c r="D778" s="1">
        <v>44111</v>
      </c>
      <c r="E778" t="s">
        <v>29</v>
      </c>
      <c r="F778" t="s">
        <v>15</v>
      </c>
      <c r="H778" t="s">
        <v>29</v>
      </c>
      <c r="I778" t="s">
        <v>77</v>
      </c>
      <c r="J778" t="s">
        <v>78</v>
      </c>
      <c r="K778" t="s">
        <v>29</v>
      </c>
      <c r="L778" t="s">
        <v>375</v>
      </c>
      <c r="M778" t="s">
        <v>103</v>
      </c>
      <c r="N778" t="s">
        <v>104</v>
      </c>
    </row>
    <row r="779" spans="1:14" x14ac:dyDescent="0.2">
      <c r="A779">
        <v>1216542</v>
      </c>
      <c r="B779">
        <f>YEAR(#REF!)</f>
        <v>2020</v>
      </c>
      <c r="C779" t="s">
        <v>512</v>
      </c>
      <c r="D779" s="1">
        <v>44112</v>
      </c>
      <c r="E779" t="s">
        <v>39</v>
      </c>
      <c r="F779" t="s">
        <v>33</v>
      </c>
      <c r="H779" t="s">
        <v>39</v>
      </c>
      <c r="I779" t="s">
        <v>77</v>
      </c>
      <c r="J779" t="s">
        <v>78</v>
      </c>
      <c r="K779" t="s">
        <v>39</v>
      </c>
      <c r="L779" t="s">
        <v>220</v>
      </c>
      <c r="M779" t="s">
        <v>157</v>
      </c>
      <c r="N779" t="s">
        <v>79</v>
      </c>
    </row>
    <row r="780" spans="1:14" x14ac:dyDescent="0.2">
      <c r="A780">
        <v>1216500</v>
      </c>
      <c r="B780">
        <f>YEAR(#REF!)</f>
        <v>2020</v>
      </c>
      <c r="C780" t="s">
        <v>512</v>
      </c>
      <c r="D780" s="1">
        <v>44113</v>
      </c>
      <c r="E780" t="s">
        <v>49</v>
      </c>
      <c r="F780" t="s">
        <v>14</v>
      </c>
      <c r="H780" t="s">
        <v>14</v>
      </c>
      <c r="I780" t="s">
        <v>89</v>
      </c>
      <c r="J780" t="s">
        <v>78</v>
      </c>
      <c r="K780" t="s">
        <v>49</v>
      </c>
      <c r="L780" t="s">
        <v>93</v>
      </c>
      <c r="M780" t="s">
        <v>168</v>
      </c>
      <c r="N780" t="s">
        <v>79</v>
      </c>
    </row>
    <row r="781" spans="1:14" x14ac:dyDescent="0.2">
      <c r="A781">
        <v>1216523</v>
      </c>
      <c r="B781">
        <f>YEAR(#REF!)</f>
        <v>2020</v>
      </c>
      <c r="C781" t="s">
        <v>512</v>
      </c>
      <c r="D781" s="1">
        <v>44114</v>
      </c>
      <c r="E781" t="s">
        <v>29</v>
      </c>
      <c r="F781" t="s">
        <v>33</v>
      </c>
      <c r="H781" t="s">
        <v>29</v>
      </c>
      <c r="I781" t="s">
        <v>77</v>
      </c>
      <c r="J781" t="s">
        <v>78</v>
      </c>
      <c r="K781" t="s">
        <v>29</v>
      </c>
      <c r="L781" t="s">
        <v>102</v>
      </c>
      <c r="M781" t="s">
        <v>103</v>
      </c>
      <c r="N781" t="s">
        <v>104</v>
      </c>
    </row>
    <row r="782" spans="1:14" x14ac:dyDescent="0.2">
      <c r="A782">
        <v>1216525</v>
      </c>
      <c r="B782">
        <f>YEAR(#REF!)</f>
        <v>2020</v>
      </c>
      <c r="C782" t="s">
        <v>512</v>
      </c>
      <c r="D782" s="1">
        <v>44114</v>
      </c>
      <c r="E782" t="s">
        <v>20</v>
      </c>
      <c r="F782" t="s">
        <v>15</v>
      </c>
      <c r="H782" t="s">
        <v>20</v>
      </c>
      <c r="I782" t="s">
        <v>77</v>
      </c>
      <c r="J782" t="s">
        <v>78</v>
      </c>
      <c r="K782" t="s">
        <v>20</v>
      </c>
      <c r="L782" t="s">
        <v>257</v>
      </c>
      <c r="M782" t="s">
        <v>157</v>
      </c>
      <c r="N782" t="s">
        <v>79</v>
      </c>
    </row>
    <row r="783" spans="1:14" x14ac:dyDescent="0.2">
      <c r="A783">
        <v>1216507</v>
      </c>
      <c r="B783">
        <f>YEAR(#REF!)</f>
        <v>2020</v>
      </c>
      <c r="C783" t="s">
        <v>512</v>
      </c>
      <c r="D783" s="1">
        <v>44115</v>
      </c>
      <c r="E783" t="s">
        <v>39</v>
      </c>
      <c r="F783" t="s">
        <v>14</v>
      </c>
      <c r="H783" t="s">
        <v>39</v>
      </c>
      <c r="I783" t="s">
        <v>77</v>
      </c>
      <c r="J783" t="s">
        <v>78</v>
      </c>
      <c r="K783" t="s">
        <v>14</v>
      </c>
      <c r="L783" t="s">
        <v>278</v>
      </c>
      <c r="M783" t="s">
        <v>157</v>
      </c>
      <c r="N783" t="s">
        <v>79</v>
      </c>
    </row>
    <row r="784" spans="1:14" x14ac:dyDescent="0.2">
      <c r="A784">
        <v>1216529</v>
      </c>
      <c r="B784">
        <f>YEAR(#REF!)</f>
        <v>2020</v>
      </c>
      <c r="C784" t="s">
        <v>512</v>
      </c>
      <c r="D784" s="1">
        <v>44115</v>
      </c>
      <c r="E784" t="s">
        <v>49</v>
      </c>
      <c r="F784" t="s">
        <v>24</v>
      </c>
      <c r="H784" t="s">
        <v>49</v>
      </c>
      <c r="I784" t="s">
        <v>77</v>
      </c>
      <c r="J784" t="s">
        <v>78</v>
      </c>
      <c r="K784" t="s">
        <v>24</v>
      </c>
      <c r="L784" t="s">
        <v>315</v>
      </c>
      <c r="M784" t="s">
        <v>103</v>
      </c>
      <c r="N784" t="s">
        <v>104</v>
      </c>
    </row>
    <row r="785" spans="1:14" x14ac:dyDescent="0.2">
      <c r="A785">
        <v>1216540</v>
      </c>
      <c r="B785">
        <f>YEAR(#REF!)</f>
        <v>2020</v>
      </c>
      <c r="C785" t="s">
        <v>512</v>
      </c>
      <c r="D785" s="1">
        <v>44116</v>
      </c>
      <c r="E785" t="s">
        <v>20</v>
      </c>
      <c r="F785" t="s">
        <v>29</v>
      </c>
      <c r="H785" t="s">
        <v>20</v>
      </c>
      <c r="I785" t="s">
        <v>77</v>
      </c>
      <c r="J785" t="s">
        <v>78</v>
      </c>
      <c r="K785" t="s">
        <v>20</v>
      </c>
      <c r="L785" t="s">
        <v>38</v>
      </c>
      <c r="M785" t="s">
        <v>168</v>
      </c>
      <c r="N785" t="s">
        <v>79</v>
      </c>
    </row>
    <row r="786" spans="1:14" x14ac:dyDescent="0.2">
      <c r="A786">
        <v>1216528</v>
      </c>
      <c r="B786">
        <f>YEAR(#REF!)</f>
        <v>2020</v>
      </c>
      <c r="C786" t="s">
        <v>512</v>
      </c>
      <c r="D786" s="1">
        <v>44117</v>
      </c>
      <c r="E786" t="s">
        <v>15</v>
      </c>
      <c r="F786" t="s">
        <v>39</v>
      </c>
      <c r="H786" t="s">
        <v>15</v>
      </c>
      <c r="I786" t="s">
        <v>77</v>
      </c>
      <c r="J786" t="s">
        <v>78</v>
      </c>
      <c r="K786" t="s">
        <v>15</v>
      </c>
      <c r="L786" t="s">
        <v>179</v>
      </c>
      <c r="M786" t="s">
        <v>157</v>
      </c>
      <c r="N786" t="s">
        <v>79</v>
      </c>
    </row>
    <row r="787" spans="1:14" x14ac:dyDescent="0.2">
      <c r="A787">
        <v>1216543</v>
      </c>
      <c r="B787">
        <f>YEAR(#REF!)</f>
        <v>2020</v>
      </c>
      <c r="C787" t="s">
        <v>512</v>
      </c>
      <c r="D787" s="1">
        <v>44118</v>
      </c>
      <c r="E787" t="s">
        <v>49</v>
      </c>
      <c r="F787" t="s">
        <v>14</v>
      </c>
      <c r="H787" t="s">
        <v>49</v>
      </c>
      <c r="I787" t="s">
        <v>77</v>
      </c>
      <c r="J787" t="s">
        <v>78</v>
      </c>
      <c r="K787" t="s">
        <v>49</v>
      </c>
      <c r="L787" t="s">
        <v>268</v>
      </c>
      <c r="M787" t="s">
        <v>157</v>
      </c>
      <c r="N787" t="s">
        <v>79</v>
      </c>
    </row>
    <row r="788" spans="1:14" x14ac:dyDescent="0.2">
      <c r="A788">
        <v>1216531</v>
      </c>
      <c r="B788">
        <f>YEAR(#REF!)</f>
        <v>2020</v>
      </c>
      <c r="C788" t="s">
        <v>512</v>
      </c>
      <c r="D788" s="1">
        <v>44119</v>
      </c>
      <c r="E788" t="s">
        <v>20</v>
      </c>
      <c r="F788" t="s">
        <v>33</v>
      </c>
      <c r="H788" t="s">
        <v>20</v>
      </c>
      <c r="I788" t="s">
        <v>77</v>
      </c>
      <c r="J788" t="s">
        <v>78</v>
      </c>
      <c r="K788" t="s">
        <v>33</v>
      </c>
      <c r="L788" t="s">
        <v>50</v>
      </c>
      <c r="M788" t="s">
        <v>168</v>
      </c>
      <c r="N788" t="s">
        <v>79</v>
      </c>
    </row>
    <row r="789" spans="1:14" x14ac:dyDescent="0.2">
      <c r="A789">
        <v>1216526</v>
      </c>
      <c r="B789">
        <f>YEAR(#REF!)</f>
        <v>2020</v>
      </c>
      <c r="C789" t="s">
        <v>512</v>
      </c>
      <c r="D789" s="1">
        <v>44120</v>
      </c>
      <c r="E789" t="s">
        <v>29</v>
      </c>
      <c r="F789" t="s">
        <v>24</v>
      </c>
      <c r="H789" t="s">
        <v>29</v>
      </c>
      <c r="I789" t="s">
        <v>77</v>
      </c>
      <c r="J789" t="s">
        <v>78</v>
      </c>
      <c r="K789" t="s">
        <v>24</v>
      </c>
      <c r="L789" t="s">
        <v>315</v>
      </c>
      <c r="M789" t="s">
        <v>103</v>
      </c>
      <c r="N789" t="s">
        <v>104</v>
      </c>
    </row>
    <row r="790" spans="1:14" x14ac:dyDescent="0.2">
      <c r="A790">
        <v>1216522</v>
      </c>
      <c r="B790">
        <f>YEAR(#REF!)</f>
        <v>2020</v>
      </c>
      <c r="C790" t="s">
        <v>512</v>
      </c>
      <c r="D790" s="1">
        <v>44121</v>
      </c>
      <c r="E790" t="s">
        <v>14</v>
      </c>
      <c r="F790" t="s">
        <v>20</v>
      </c>
      <c r="H790" t="s">
        <v>14</v>
      </c>
      <c r="I790" t="s">
        <v>77</v>
      </c>
      <c r="J790" t="s">
        <v>78</v>
      </c>
      <c r="K790" t="s">
        <v>20</v>
      </c>
      <c r="L790" t="s">
        <v>38</v>
      </c>
      <c r="M790" t="s">
        <v>157</v>
      </c>
      <c r="N790" t="s">
        <v>79</v>
      </c>
    </row>
    <row r="791" spans="1:14" x14ac:dyDescent="0.2">
      <c r="A791">
        <v>1216509</v>
      </c>
      <c r="B791">
        <f>YEAR(#REF!)</f>
        <v>2020</v>
      </c>
      <c r="C791" t="s">
        <v>512</v>
      </c>
      <c r="D791" s="1">
        <v>44121</v>
      </c>
      <c r="E791" t="s">
        <v>15</v>
      </c>
      <c r="F791" t="s">
        <v>49</v>
      </c>
      <c r="H791" t="s">
        <v>15</v>
      </c>
      <c r="I791" t="s">
        <v>77</v>
      </c>
      <c r="J791" t="s">
        <v>78</v>
      </c>
      <c r="K791" t="s">
        <v>49</v>
      </c>
      <c r="L791" t="s">
        <v>90</v>
      </c>
      <c r="M791" t="s">
        <v>168</v>
      </c>
      <c r="N791" t="s">
        <v>79</v>
      </c>
    </row>
    <row r="792" spans="1:14" x14ac:dyDescent="0.2">
      <c r="A792">
        <v>1216512</v>
      </c>
      <c r="B792">
        <f>YEAR(#REF!)</f>
        <v>2020</v>
      </c>
      <c r="C792" t="s">
        <v>512</v>
      </c>
      <c r="D792" s="1">
        <v>44122</v>
      </c>
      <c r="E792" t="s">
        <v>29</v>
      </c>
      <c r="F792" t="s">
        <v>39</v>
      </c>
      <c r="H792" t="s">
        <v>39</v>
      </c>
      <c r="I792" t="s">
        <v>89</v>
      </c>
      <c r="J792" t="s">
        <v>310</v>
      </c>
      <c r="K792" t="s">
        <v>79</v>
      </c>
      <c r="L792" t="s">
        <v>254</v>
      </c>
      <c r="M792" t="s">
        <v>103</v>
      </c>
      <c r="N792" t="s">
        <v>104</v>
      </c>
    </row>
    <row r="793" spans="1:14" x14ac:dyDescent="0.2">
      <c r="A793">
        <v>1216517</v>
      </c>
      <c r="B793">
        <f>YEAR(#REF!)</f>
        <v>2020</v>
      </c>
      <c r="C793" t="s">
        <v>512</v>
      </c>
      <c r="D793" s="1">
        <v>44122</v>
      </c>
      <c r="E793" t="s">
        <v>24</v>
      </c>
      <c r="F793" t="s">
        <v>33</v>
      </c>
      <c r="H793" t="s">
        <v>24</v>
      </c>
      <c r="I793" t="s">
        <v>77</v>
      </c>
      <c r="J793" t="s">
        <v>310</v>
      </c>
      <c r="K793" t="s">
        <v>79</v>
      </c>
      <c r="L793" t="s">
        <v>50</v>
      </c>
      <c r="M793" t="s">
        <v>157</v>
      </c>
      <c r="N793" t="s">
        <v>79</v>
      </c>
    </row>
    <row r="794" spans="1:14" x14ac:dyDescent="0.2">
      <c r="A794">
        <v>1216533</v>
      </c>
      <c r="B794">
        <f>YEAR(#REF!)</f>
        <v>2020</v>
      </c>
      <c r="C794" t="s">
        <v>512</v>
      </c>
      <c r="D794" s="1">
        <v>44123</v>
      </c>
      <c r="E794" t="s">
        <v>15</v>
      </c>
      <c r="F794" t="s">
        <v>14</v>
      </c>
      <c r="H794" t="s">
        <v>15</v>
      </c>
      <c r="I794" t="s">
        <v>77</v>
      </c>
      <c r="J794" t="s">
        <v>78</v>
      </c>
      <c r="K794" t="s">
        <v>14</v>
      </c>
      <c r="L794" t="s">
        <v>247</v>
      </c>
      <c r="M794" t="s">
        <v>103</v>
      </c>
      <c r="N794" t="s">
        <v>104</v>
      </c>
    </row>
    <row r="795" spans="1:14" x14ac:dyDescent="0.2">
      <c r="A795">
        <v>1216546</v>
      </c>
      <c r="B795">
        <f>YEAR(#REF!)</f>
        <v>2020</v>
      </c>
      <c r="C795" t="s">
        <v>512</v>
      </c>
      <c r="D795" s="1">
        <v>44124</v>
      </c>
      <c r="E795" t="s">
        <v>49</v>
      </c>
      <c r="F795" t="s">
        <v>33</v>
      </c>
      <c r="H795" t="s">
        <v>49</v>
      </c>
      <c r="I795" t="s">
        <v>77</v>
      </c>
      <c r="J795" t="s">
        <v>78</v>
      </c>
      <c r="K795" t="s">
        <v>33</v>
      </c>
      <c r="L795" t="s">
        <v>90</v>
      </c>
      <c r="M795" t="s">
        <v>157</v>
      </c>
      <c r="N795" t="s">
        <v>79</v>
      </c>
    </row>
    <row r="796" spans="1:14" x14ac:dyDescent="0.2">
      <c r="A796">
        <v>1216494</v>
      </c>
      <c r="B796">
        <f>YEAR(#REF!)</f>
        <v>2020</v>
      </c>
      <c r="C796" t="s">
        <v>512</v>
      </c>
      <c r="D796" s="1">
        <v>44125</v>
      </c>
      <c r="E796" t="s">
        <v>29</v>
      </c>
      <c r="F796" t="s">
        <v>20</v>
      </c>
      <c r="H796" t="s">
        <v>29</v>
      </c>
      <c r="I796" t="s">
        <v>77</v>
      </c>
      <c r="J796" t="s">
        <v>78</v>
      </c>
      <c r="K796" t="s">
        <v>20</v>
      </c>
      <c r="L796" t="s">
        <v>329</v>
      </c>
      <c r="M796" t="s">
        <v>103</v>
      </c>
      <c r="N796" t="s">
        <v>104</v>
      </c>
    </row>
    <row r="797" spans="1:14" x14ac:dyDescent="0.2">
      <c r="A797">
        <v>1216518</v>
      </c>
      <c r="B797">
        <f>YEAR(#REF!)</f>
        <v>2020</v>
      </c>
      <c r="C797" t="s">
        <v>512</v>
      </c>
      <c r="D797" s="1">
        <v>44126</v>
      </c>
      <c r="E797" t="s">
        <v>14</v>
      </c>
      <c r="F797" t="s">
        <v>39</v>
      </c>
      <c r="H797" t="s">
        <v>39</v>
      </c>
      <c r="I797" t="s">
        <v>89</v>
      </c>
      <c r="J797" t="s">
        <v>78</v>
      </c>
      <c r="K797" t="s">
        <v>39</v>
      </c>
      <c r="L797" t="s">
        <v>253</v>
      </c>
      <c r="M797" t="s">
        <v>157</v>
      </c>
      <c r="N797" t="s">
        <v>79</v>
      </c>
    </row>
    <row r="798" spans="1:14" x14ac:dyDescent="0.2">
      <c r="A798">
        <v>1216521</v>
      </c>
      <c r="B798">
        <f>YEAR(#REF!)</f>
        <v>2020</v>
      </c>
      <c r="C798" t="s">
        <v>512</v>
      </c>
      <c r="D798" s="1">
        <v>44127</v>
      </c>
      <c r="E798" t="s">
        <v>15</v>
      </c>
      <c r="F798" t="s">
        <v>24</v>
      </c>
      <c r="H798" t="s">
        <v>24</v>
      </c>
      <c r="I798" t="s">
        <v>89</v>
      </c>
      <c r="J798" t="s">
        <v>78</v>
      </c>
      <c r="K798" t="s">
        <v>24</v>
      </c>
      <c r="L798" t="s">
        <v>207</v>
      </c>
      <c r="M798" t="s">
        <v>168</v>
      </c>
      <c r="N798" t="s">
        <v>79</v>
      </c>
    </row>
    <row r="799" spans="1:14" x14ac:dyDescent="0.2">
      <c r="A799">
        <v>1216497</v>
      </c>
      <c r="B799">
        <f>YEAR(#REF!)</f>
        <v>2020</v>
      </c>
      <c r="C799" t="s">
        <v>512</v>
      </c>
      <c r="D799" s="1">
        <v>44128</v>
      </c>
      <c r="E799" t="s">
        <v>29</v>
      </c>
      <c r="F799" t="s">
        <v>49</v>
      </c>
      <c r="H799" t="s">
        <v>49</v>
      </c>
      <c r="I799" t="s">
        <v>89</v>
      </c>
      <c r="J799" t="s">
        <v>78</v>
      </c>
      <c r="K799" t="s">
        <v>29</v>
      </c>
      <c r="L799" t="s">
        <v>244</v>
      </c>
      <c r="M799" t="s">
        <v>103</v>
      </c>
      <c r="N799" t="s">
        <v>104</v>
      </c>
    </row>
    <row r="800" spans="1:14" x14ac:dyDescent="0.2">
      <c r="A800">
        <v>1216498</v>
      </c>
      <c r="B800">
        <f>YEAR(#REF!)</f>
        <v>2020</v>
      </c>
      <c r="C800" t="s">
        <v>512</v>
      </c>
      <c r="D800" s="1">
        <v>44128</v>
      </c>
      <c r="E800" t="s">
        <v>33</v>
      </c>
      <c r="F800" t="s">
        <v>39</v>
      </c>
      <c r="H800" t="s">
        <v>39</v>
      </c>
      <c r="I800" t="s">
        <v>89</v>
      </c>
      <c r="J800" t="s">
        <v>78</v>
      </c>
      <c r="K800" t="s">
        <v>33</v>
      </c>
      <c r="L800" t="s">
        <v>431</v>
      </c>
      <c r="M800" t="s">
        <v>157</v>
      </c>
      <c r="N800" t="s">
        <v>79</v>
      </c>
    </row>
    <row r="801" spans="1:14" x14ac:dyDescent="0.2">
      <c r="A801">
        <v>1216541</v>
      </c>
      <c r="B801">
        <f>YEAR(#REF!)</f>
        <v>2020</v>
      </c>
      <c r="C801" t="s">
        <v>512</v>
      </c>
      <c r="D801" s="1">
        <v>44129</v>
      </c>
      <c r="E801" t="s">
        <v>24</v>
      </c>
      <c r="F801" t="s">
        <v>14</v>
      </c>
      <c r="H801" t="s">
        <v>24</v>
      </c>
      <c r="I801" t="s">
        <v>77</v>
      </c>
      <c r="J801" t="s">
        <v>78</v>
      </c>
      <c r="K801" t="s">
        <v>14</v>
      </c>
      <c r="L801" t="s">
        <v>131</v>
      </c>
      <c r="M801" t="s">
        <v>103</v>
      </c>
      <c r="N801" t="s">
        <v>104</v>
      </c>
    </row>
    <row r="802" spans="1:14" x14ac:dyDescent="0.2">
      <c r="A802">
        <v>1216544</v>
      </c>
      <c r="B802">
        <f>YEAR(#REF!)</f>
        <v>2020</v>
      </c>
      <c r="C802" t="s">
        <v>512</v>
      </c>
      <c r="D802" s="1">
        <v>44129</v>
      </c>
      <c r="E802" t="s">
        <v>20</v>
      </c>
      <c r="F802" t="s">
        <v>15</v>
      </c>
      <c r="H802" t="s">
        <v>20</v>
      </c>
      <c r="I802" t="s">
        <v>77</v>
      </c>
      <c r="J802" t="s">
        <v>78</v>
      </c>
      <c r="K802" t="s">
        <v>15</v>
      </c>
      <c r="L802" t="s">
        <v>178</v>
      </c>
      <c r="M802" t="s">
        <v>157</v>
      </c>
      <c r="N802" t="s">
        <v>79</v>
      </c>
    </row>
    <row r="803" spans="1:14" x14ac:dyDescent="0.2">
      <c r="A803">
        <v>1216520</v>
      </c>
      <c r="B803">
        <f>YEAR(#REF!)</f>
        <v>2020</v>
      </c>
      <c r="C803" t="s">
        <v>512</v>
      </c>
      <c r="D803" s="1">
        <v>44130</v>
      </c>
      <c r="E803" t="s">
        <v>29</v>
      </c>
      <c r="F803" t="s">
        <v>33</v>
      </c>
      <c r="H803" t="s">
        <v>33</v>
      </c>
      <c r="I803" t="s">
        <v>89</v>
      </c>
      <c r="J803" t="s">
        <v>78</v>
      </c>
      <c r="K803" t="s">
        <v>33</v>
      </c>
      <c r="L803" t="s">
        <v>214</v>
      </c>
      <c r="M803" t="s">
        <v>168</v>
      </c>
      <c r="N803" t="s">
        <v>79</v>
      </c>
    </row>
    <row r="804" spans="1:14" x14ac:dyDescent="0.2">
      <c r="A804">
        <v>1216524</v>
      </c>
      <c r="B804">
        <f>YEAR(#REF!)</f>
        <v>2020</v>
      </c>
      <c r="C804" t="s">
        <v>512</v>
      </c>
      <c r="D804" s="1">
        <v>44131</v>
      </c>
      <c r="E804" t="s">
        <v>39</v>
      </c>
      <c r="F804" t="s">
        <v>49</v>
      </c>
      <c r="H804" t="s">
        <v>49</v>
      </c>
      <c r="I804" t="s">
        <v>89</v>
      </c>
      <c r="J804" t="s">
        <v>78</v>
      </c>
      <c r="K804" t="s">
        <v>39</v>
      </c>
      <c r="L804" t="s">
        <v>330</v>
      </c>
      <c r="M804" t="s">
        <v>157</v>
      </c>
      <c r="N804" t="s">
        <v>79</v>
      </c>
    </row>
    <row r="805" spans="1:14" x14ac:dyDescent="0.2">
      <c r="A805">
        <v>1216499</v>
      </c>
      <c r="B805">
        <f>YEAR(#REF!)</f>
        <v>2020</v>
      </c>
      <c r="C805" t="s">
        <v>512</v>
      </c>
      <c r="D805" s="1">
        <v>44132</v>
      </c>
      <c r="E805" t="s">
        <v>20</v>
      </c>
      <c r="F805" t="s">
        <v>24</v>
      </c>
      <c r="H805" t="s">
        <v>24</v>
      </c>
      <c r="I805" t="s">
        <v>89</v>
      </c>
      <c r="J805" t="s">
        <v>78</v>
      </c>
      <c r="K805" t="s">
        <v>24</v>
      </c>
      <c r="L805" t="s">
        <v>287</v>
      </c>
      <c r="M805" t="s">
        <v>103</v>
      </c>
      <c r="N805" t="s">
        <v>104</v>
      </c>
    </row>
    <row r="806" spans="1:14" x14ac:dyDescent="0.2">
      <c r="A806">
        <v>1216536</v>
      </c>
      <c r="B806">
        <f>YEAR(#REF!)</f>
        <v>2020</v>
      </c>
      <c r="C806" t="s">
        <v>512</v>
      </c>
      <c r="D806" s="1">
        <v>44133</v>
      </c>
      <c r="E806" t="s">
        <v>29</v>
      </c>
      <c r="F806" t="s">
        <v>15</v>
      </c>
      <c r="H806" t="s">
        <v>15</v>
      </c>
      <c r="I806" t="s">
        <v>89</v>
      </c>
      <c r="J806" t="s">
        <v>78</v>
      </c>
      <c r="K806" t="s">
        <v>15</v>
      </c>
      <c r="L806" t="s">
        <v>178</v>
      </c>
      <c r="M806" t="s">
        <v>157</v>
      </c>
      <c r="N806" t="s">
        <v>79</v>
      </c>
    </row>
    <row r="807" spans="1:14" x14ac:dyDescent="0.2">
      <c r="A807">
        <v>1216537</v>
      </c>
      <c r="B807">
        <f>YEAR(#REF!)</f>
        <v>2020</v>
      </c>
      <c r="C807" t="s">
        <v>512</v>
      </c>
      <c r="D807" s="1">
        <v>44134</v>
      </c>
      <c r="E807" t="s">
        <v>33</v>
      </c>
      <c r="F807" t="s">
        <v>14</v>
      </c>
      <c r="H807" t="s">
        <v>14</v>
      </c>
      <c r="I807" t="s">
        <v>89</v>
      </c>
      <c r="J807" t="s">
        <v>78</v>
      </c>
      <c r="K807" t="s">
        <v>14</v>
      </c>
      <c r="L807" t="s">
        <v>131</v>
      </c>
      <c r="M807" t="s">
        <v>103</v>
      </c>
      <c r="N807" t="s">
        <v>104</v>
      </c>
    </row>
    <row r="808" spans="1:14" x14ac:dyDescent="0.2">
      <c r="A808">
        <v>1216502</v>
      </c>
      <c r="B808">
        <f>YEAR(#REF!)</f>
        <v>2020</v>
      </c>
      <c r="C808" t="s">
        <v>512</v>
      </c>
      <c r="D808" s="1">
        <v>44135</v>
      </c>
      <c r="E808" t="s">
        <v>20</v>
      </c>
      <c r="F808" t="s">
        <v>39</v>
      </c>
      <c r="H808" t="s">
        <v>39</v>
      </c>
      <c r="I808" t="s">
        <v>89</v>
      </c>
      <c r="J808" t="s">
        <v>78</v>
      </c>
      <c r="K808" t="s">
        <v>39</v>
      </c>
      <c r="L808" t="s">
        <v>83</v>
      </c>
      <c r="M808" t="s">
        <v>168</v>
      </c>
      <c r="N808" t="s">
        <v>79</v>
      </c>
    </row>
    <row r="809" spans="1:14" x14ac:dyDescent="0.2">
      <c r="A809">
        <v>1216535</v>
      </c>
      <c r="B809">
        <f>YEAR(#REF!)</f>
        <v>2020</v>
      </c>
      <c r="C809" t="s">
        <v>512</v>
      </c>
      <c r="D809" s="1">
        <v>44135</v>
      </c>
      <c r="E809" t="s">
        <v>49</v>
      </c>
      <c r="F809" t="s">
        <v>24</v>
      </c>
      <c r="H809" t="s">
        <v>24</v>
      </c>
      <c r="I809" t="s">
        <v>89</v>
      </c>
      <c r="J809" t="s">
        <v>78</v>
      </c>
      <c r="K809" t="s">
        <v>24</v>
      </c>
      <c r="L809" t="s">
        <v>213</v>
      </c>
      <c r="M809" t="s">
        <v>157</v>
      </c>
      <c r="N809" t="s">
        <v>79</v>
      </c>
    </row>
    <row r="810" spans="1:14" x14ac:dyDescent="0.2">
      <c r="A810">
        <v>1216506</v>
      </c>
      <c r="B810">
        <f>YEAR(#REF!)</f>
        <v>2020</v>
      </c>
      <c r="C810" t="s">
        <v>512</v>
      </c>
      <c r="D810" s="1">
        <v>44136</v>
      </c>
      <c r="E810" t="s">
        <v>33</v>
      </c>
      <c r="F810" t="s">
        <v>15</v>
      </c>
      <c r="H810" t="s">
        <v>15</v>
      </c>
      <c r="I810" t="s">
        <v>89</v>
      </c>
      <c r="J810" t="s">
        <v>78</v>
      </c>
      <c r="K810" t="s">
        <v>15</v>
      </c>
      <c r="L810" t="s">
        <v>178</v>
      </c>
      <c r="M810" t="s">
        <v>103</v>
      </c>
      <c r="N810" t="s">
        <v>104</v>
      </c>
    </row>
    <row r="811" spans="1:14" x14ac:dyDescent="0.2">
      <c r="A811">
        <v>1216530</v>
      </c>
      <c r="B811">
        <f>YEAR(#REF!)</f>
        <v>2020</v>
      </c>
      <c r="C811" t="s">
        <v>512</v>
      </c>
      <c r="D811" s="1">
        <v>44136</v>
      </c>
      <c r="E811" t="s">
        <v>29</v>
      </c>
      <c r="F811" t="s">
        <v>14</v>
      </c>
      <c r="H811" t="s">
        <v>14</v>
      </c>
      <c r="I811" t="s">
        <v>89</v>
      </c>
      <c r="J811" t="s">
        <v>78</v>
      </c>
      <c r="K811" t="s">
        <v>29</v>
      </c>
      <c r="L811" t="s">
        <v>465</v>
      </c>
      <c r="M811" t="s">
        <v>157</v>
      </c>
      <c r="N811" t="s">
        <v>79</v>
      </c>
    </row>
    <row r="812" spans="1:14" x14ac:dyDescent="0.2">
      <c r="A812">
        <v>1216505</v>
      </c>
      <c r="B812">
        <f>YEAR(#REF!)</f>
        <v>2020</v>
      </c>
      <c r="C812" t="s">
        <v>512</v>
      </c>
      <c r="D812" s="1">
        <v>44137</v>
      </c>
      <c r="E812" t="s">
        <v>20</v>
      </c>
      <c r="F812" t="s">
        <v>49</v>
      </c>
      <c r="H812" t="s">
        <v>49</v>
      </c>
      <c r="I812" t="s">
        <v>89</v>
      </c>
      <c r="J812" t="s">
        <v>78</v>
      </c>
      <c r="K812" t="s">
        <v>49</v>
      </c>
      <c r="L812" t="s">
        <v>268</v>
      </c>
      <c r="M812" t="s">
        <v>103</v>
      </c>
      <c r="N812" t="s">
        <v>104</v>
      </c>
    </row>
    <row r="813" spans="1:14" x14ac:dyDescent="0.2">
      <c r="A813">
        <v>1216495</v>
      </c>
      <c r="B813">
        <f>YEAR(#REF!)</f>
        <v>2020</v>
      </c>
      <c r="C813" t="s">
        <v>512</v>
      </c>
      <c r="D813" s="1">
        <v>44138</v>
      </c>
      <c r="E813" t="s">
        <v>24</v>
      </c>
      <c r="F813" t="s">
        <v>39</v>
      </c>
      <c r="H813" t="s">
        <v>39</v>
      </c>
      <c r="I813" t="s">
        <v>89</v>
      </c>
      <c r="J813" t="s">
        <v>78</v>
      </c>
      <c r="K813" t="s">
        <v>39</v>
      </c>
      <c r="L813" t="s">
        <v>371</v>
      </c>
      <c r="M813" t="s">
        <v>168</v>
      </c>
      <c r="N813" t="s">
        <v>79</v>
      </c>
    </row>
    <row r="814" spans="1:14" x14ac:dyDescent="0.2">
      <c r="A814">
        <v>1237177</v>
      </c>
      <c r="B814">
        <f>YEAR(#REF!)</f>
        <v>2020</v>
      </c>
      <c r="C814" t="s">
        <v>512</v>
      </c>
      <c r="D814" s="1">
        <v>44140</v>
      </c>
      <c r="E814" t="s">
        <v>24</v>
      </c>
      <c r="F814" t="s">
        <v>49</v>
      </c>
      <c r="H814" t="s">
        <v>49</v>
      </c>
      <c r="I814" t="s">
        <v>89</v>
      </c>
      <c r="J814" t="s">
        <v>78</v>
      </c>
      <c r="K814" t="s">
        <v>24</v>
      </c>
      <c r="L814" t="s">
        <v>108</v>
      </c>
      <c r="M814" t="s">
        <v>157</v>
      </c>
      <c r="N814" t="s">
        <v>79</v>
      </c>
    </row>
    <row r="815" spans="1:14" x14ac:dyDescent="0.2">
      <c r="A815">
        <v>1237178</v>
      </c>
      <c r="B815">
        <f>YEAR(#REF!)</f>
        <v>2020</v>
      </c>
      <c r="C815" t="s">
        <v>512</v>
      </c>
      <c r="D815" s="1">
        <v>44141</v>
      </c>
      <c r="E815" t="s">
        <v>20</v>
      </c>
      <c r="F815" t="s">
        <v>39</v>
      </c>
      <c r="H815" t="s">
        <v>39</v>
      </c>
      <c r="I815" t="s">
        <v>89</v>
      </c>
      <c r="J815" t="s">
        <v>78</v>
      </c>
      <c r="K815" t="s">
        <v>39</v>
      </c>
      <c r="L815" t="s">
        <v>143</v>
      </c>
      <c r="M815" t="s">
        <v>103</v>
      </c>
      <c r="N815" t="s">
        <v>104</v>
      </c>
    </row>
    <row r="816" spans="1:14" x14ac:dyDescent="0.2">
      <c r="A816">
        <v>1237180</v>
      </c>
      <c r="B816">
        <f>YEAR(#REF!)</f>
        <v>2020</v>
      </c>
      <c r="C816" t="s">
        <v>512</v>
      </c>
      <c r="D816" s="1">
        <v>44143</v>
      </c>
      <c r="E816" t="s">
        <v>49</v>
      </c>
      <c r="F816" t="s">
        <v>39</v>
      </c>
      <c r="H816" t="s">
        <v>49</v>
      </c>
      <c r="I816" t="s">
        <v>77</v>
      </c>
      <c r="J816" t="s">
        <v>78</v>
      </c>
      <c r="K816" t="s">
        <v>49</v>
      </c>
      <c r="L816" t="s">
        <v>245</v>
      </c>
      <c r="M816" t="s">
        <v>103</v>
      </c>
      <c r="N816" t="s">
        <v>104</v>
      </c>
    </row>
    <row r="817" spans="1:14" x14ac:dyDescent="0.2">
      <c r="A817">
        <v>1237181</v>
      </c>
      <c r="B817">
        <f>YEAR(#REF!)</f>
        <v>2020</v>
      </c>
      <c r="C817" t="s">
        <v>512</v>
      </c>
      <c r="D817" s="1">
        <v>44145</v>
      </c>
      <c r="E817" t="s">
        <v>49</v>
      </c>
      <c r="F817" t="s">
        <v>24</v>
      </c>
      <c r="H817" t="s">
        <v>49</v>
      </c>
      <c r="I817" t="s">
        <v>77</v>
      </c>
      <c r="J817" t="s">
        <v>78</v>
      </c>
      <c r="K817" t="s">
        <v>24</v>
      </c>
      <c r="L817" t="s">
        <v>207</v>
      </c>
      <c r="M817" t="s">
        <v>157</v>
      </c>
      <c r="N817" t="s">
        <v>79</v>
      </c>
    </row>
    <row r="818" spans="1:14" x14ac:dyDescent="0.2">
      <c r="A818">
        <v>1254058</v>
      </c>
      <c r="B818">
        <f>YEAR(#REF!)</f>
        <v>2021</v>
      </c>
      <c r="C818" t="s">
        <v>513</v>
      </c>
      <c r="D818" s="1">
        <v>44295</v>
      </c>
      <c r="E818" t="s">
        <v>24</v>
      </c>
      <c r="F818" t="s">
        <v>20</v>
      </c>
      <c r="H818" t="s">
        <v>20</v>
      </c>
      <c r="I818" t="s">
        <v>89</v>
      </c>
      <c r="J818" t="s">
        <v>78</v>
      </c>
      <c r="K818" t="s">
        <v>20</v>
      </c>
      <c r="L818" t="s">
        <v>339</v>
      </c>
      <c r="M818" t="s">
        <v>106</v>
      </c>
      <c r="N818" t="s">
        <v>107</v>
      </c>
    </row>
    <row r="819" spans="1:14" x14ac:dyDescent="0.2">
      <c r="A819">
        <v>1254059</v>
      </c>
      <c r="B819">
        <f>YEAR(#REF!)</f>
        <v>2021</v>
      </c>
      <c r="C819" t="s">
        <v>513</v>
      </c>
      <c r="D819" s="1">
        <v>44296</v>
      </c>
      <c r="E819" t="s">
        <v>15</v>
      </c>
      <c r="F819" t="s">
        <v>49</v>
      </c>
      <c r="H819" t="s">
        <v>49</v>
      </c>
      <c r="I819" t="s">
        <v>89</v>
      </c>
      <c r="J819" t="s">
        <v>78</v>
      </c>
      <c r="K819" t="s">
        <v>49</v>
      </c>
      <c r="L819" t="s">
        <v>90</v>
      </c>
      <c r="M819" t="s">
        <v>91</v>
      </c>
      <c r="N819" t="s">
        <v>92</v>
      </c>
    </row>
    <row r="820" spans="1:14" x14ac:dyDescent="0.2">
      <c r="A820">
        <v>1254060</v>
      </c>
      <c r="B820">
        <f>YEAR(#REF!)</f>
        <v>2021</v>
      </c>
      <c r="C820" t="s">
        <v>513</v>
      </c>
      <c r="D820" s="1">
        <v>44297</v>
      </c>
      <c r="E820" t="s">
        <v>29</v>
      </c>
      <c r="F820" t="s">
        <v>39</v>
      </c>
      <c r="H820" t="s">
        <v>39</v>
      </c>
      <c r="I820" t="s">
        <v>89</v>
      </c>
      <c r="J820" t="s">
        <v>78</v>
      </c>
      <c r="K820" t="s">
        <v>29</v>
      </c>
      <c r="L820" t="s">
        <v>122</v>
      </c>
      <c r="M820" t="s">
        <v>106</v>
      </c>
      <c r="N820" t="s">
        <v>107</v>
      </c>
    </row>
    <row r="821" spans="1:14" x14ac:dyDescent="0.2">
      <c r="A821">
        <v>1254061</v>
      </c>
      <c r="B821">
        <f>YEAR(#REF!)</f>
        <v>2021</v>
      </c>
      <c r="C821" t="s">
        <v>513</v>
      </c>
      <c r="D821" s="1">
        <v>44298</v>
      </c>
      <c r="E821" t="s">
        <v>62</v>
      </c>
      <c r="F821" t="s">
        <v>14</v>
      </c>
      <c r="H821" t="s">
        <v>14</v>
      </c>
      <c r="I821" t="s">
        <v>89</v>
      </c>
      <c r="J821" t="s">
        <v>78</v>
      </c>
      <c r="K821" t="s">
        <v>62</v>
      </c>
      <c r="L821" t="s">
        <v>187</v>
      </c>
      <c r="M821" t="s">
        <v>91</v>
      </c>
      <c r="N821" t="s">
        <v>92</v>
      </c>
    </row>
    <row r="822" spans="1:14" x14ac:dyDescent="0.2">
      <c r="A822">
        <v>1254062</v>
      </c>
      <c r="B822">
        <f>YEAR(#REF!)</f>
        <v>2021</v>
      </c>
      <c r="C822" t="s">
        <v>513</v>
      </c>
      <c r="D822" s="1">
        <v>44299</v>
      </c>
      <c r="E822" t="s">
        <v>24</v>
      </c>
      <c r="F822" t="s">
        <v>29</v>
      </c>
      <c r="H822" t="s">
        <v>29</v>
      </c>
      <c r="I822" t="s">
        <v>89</v>
      </c>
      <c r="J822" t="s">
        <v>78</v>
      </c>
      <c r="K822" t="s">
        <v>24</v>
      </c>
      <c r="L822" t="s">
        <v>357</v>
      </c>
      <c r="M822" t="s">
        <v>106</v>
      </c>
      <c r="N822" t="s">
        <v>107</v>
      </c>
    </row>
    <row r="823" spans="1:14" x14ac:dyDescent="0.2">
      <c r="A823">
        <v>1254063</v>
      </c>
      <c r="B823">
        <f>YEAR(#REF!)</f>
        <v>2021</v>
      </c>
      <c r="C823" t="s">
        <v>513</v>
      </c>
      <c r="D823" s="1">
        <v>44300</v>
      </c>
      <c r="E823" t="s">
        <v>20</v>
      </c>
      <c r="F823" t="s">
        <v>39</v>
      </c>
      <c r="H823" t="s">
        <v>39</v>
      </c>
      <c r="I823" t="s">
        <v>89</v>
      </c>
      <c r="J823" t="s">
        <v>78</v>
      </c>
      <c r="K823" t="s">
        <v>20</v>
      </c>
      <c r="L823" t="s">
        <v>248</v>
      </c>
      <c r="M823" t="s">
        <v>106</v>
      </c>
      <c r="N823" t="s">
        <v>107</v>
      </c>
    </row>
    <row r="824" spans="1:14" x14ac:dyDescent="0.2">
      <c r="A824">
        <v>1254064</v>
      </c>
      <c r="B824">
        <f>YEAR(#REF!)</f>
        <v>2021</v>
      </c>
      <c r="C824" t="s">
        <v>513</v>
      </c>
      <c r="D824" s="1">
        <v>44301</v>
      </c>
      <c r="E824" t="s">
        <v>49</v>
      </c>
      <c r="F824" t="s">
        <v>14</v>
      </c>
      <c r="H824" t="s">
        <v>14</v>
      </c>
      <c r="I824" t="s">
        <v>89</v>
      </c>
      <c r="J824" t="s">
        <v>78</v>
      </c>
      <c r="K824" t="s">
        <v>14</v>
      </c>
      <c r="L824" t="s">
        <v>186</v>
      </c>
      <c r="M824" t="s">
        <v>91</v>
      </c>
      <c r="N824" t="s">
        <v>92</v>
      </c>
    </row>
    <row r="825" spans="1:14" x14ac:dyDescent="0.2">
      <c r="A825">
        <v>1254065</v>
      </c>
      <c r="B825">
        <f>YEAR(#REF!)</f>
        <v>2021</v>
      </c>
      <c r="C825" t="s">
        <v>513</v>
      </c>
      <c r="D825" s="1">
        <v>44302</v>
      </c>
      <c r="E825" t="s">
        <v>62</v>
      </c>
      <c r="F825" t="s">
        <v>15</v>
      </c>
      <c r="H825" t="s">
        <v>15</v>
      </c>
      <c r="I825" t="s">
        <v>89</v>
      </c>
      <c r="J825" t="s">
        <v>78</v>
      </c>
      <c r="K825" t="s">
        <v>15</v>
      </c>
      <c r="L825" t="s">
        <v>398</v>
      </c>
      <c r="M825" t="s">
        <v>91</v>
      </c>
      <c r="N825" t="s">
        <v>92</v>
      </c>
    </row>
    <row r="826" spans="1:14" x14ac:dyDescent="0.2">
      <c r="A826">
        <v>1254066</v>
      </c>
      <c r="B826">
        <f>YEAR(#REF!)</f>
        <v>2021</v>
      </c>
      <c r="C826" t="s">
        <v>513</v>
      </c>
      <c r="D826" s="1">
        <v>44303</v>
      </c>
      <c r="E826" t="s">
        <v>24</v>
      </c>
      <c r="F826" t="s">
        <v>39</v>
      </c>
      <c r="H826" t="s">
        <v>24</v>
      </c>
      <c r="I826" t="s">
        <v>77</v>
      </c>
      <c r="J826" t="s">
        <v>78</v>
      </c>
      <c r="K826" t="s">
        <v>24</v>
      </c>
      <c r="L826" t="s">
        <v>123</v>
      </c>
      <c r="M826" t="s">
        <v>106</v>
      </c>
      <c r="N826" t="s">
        <v>107</v>
      </c>
    </row>
    <row r="827" spans="1:14" x14ac:dyDescent="0.2">
      <c r="A827">
        <v>1254068</v>
      </c>
      <c r="B827">
        <f>YEAR(#REF!)</f>
        <v>2021</v>
      </c>
      <c r="C827" t="s">
        <v>513</v>
      </c>
      <c r="D827" s="1">
        <v>44304</v>
      </c>
      <c r="E827" t="s">
        <v>62</v>
      </c>
      <c r="F827" t="s">
        <v>49</v>
      </c>
      <c r="H827" t="s">
        <v>49</v>
      </c>
      <c r="I827" t="s">
        <v>89</v>
      </c>
      <c r="J827" t="s">
        <v>78</v>
      </c>
      <c r="K827" t="s">
        <v>49</v>
      </c>
      <c r="L827" t="s">
        <v>90</v>
      </c>
      <c r="M827" t="s">
        <v>91</v>
      </c>
      <c r="N827" t="s">
        <v>92</v>
      </c>
    </row>
    <row r="828" spans="1:14" x14ac:dyDescent="0.2">
      <c r="A828">
        <v>1254067</v>
      </c>
      <c r="B828">
        <f>YEAR(#REF!)</f>
        <v>2021</v>
      </c>
      <c r="C828" t="s">
        <v>513</v>
      </c>
      <c r="D828" s="1">
        <v>44304</v>
      </c>
      <c r="E828" t="s">
        <v>20</v>
      </c>
      <c r="F828" t="s">
        <v>29</v>
      </c>
      <c r="H828" t="s">
        <v>20</v>
      </c>
      <c r="I828" t="s">
        <v>77</v>
      </c>
      <c r="J828" t="s">
        <v>78</v>
      </c>
      <c r="K828" t="s">
        <v>20</v>
      </c>
      <c r="L828" t="s">
        <v>38</v>
      </c>
      <c r="M828" t="s">
        <v>106</v>
      </c>
      <c r="N828" t="s">
        <v>107</v>
      </c>
    </row>
    <row r="829" spans="1:14" x14ac:dyDescent="0.2">
      <c r="A829">
        <v>1254069</v>
      </c>
      <c r="B829">
        <f>YEAR(#REF!)</f>
        <v>2021</v>
      </c>
      <c r="C829" t="s">
        <v>513</v>
      </c>
      <c r="D829" s="1">
        <v>44305</v>
      </c>
      <c r="E829" t="s">
        <v>15</v>
      </c>
      <c r="F829" t="s">
        <v>14</v>
      </c>
      <c r="H829" t="s">
        <v>14</v>
      </c>
      <c r="I829" t="s">
        <v>89</v>
      </c>
      <c r="J829" t="s">
        <v>78</v>
      </c>
      <c r="K829" t="s">
        <v>15</v>
      </c>
      <c r="L829" t="s">
        <v>251</v>
      </c>
      <c r="M829" t="s">
        <v>91</v>
      </c>
      <c r="N829" t="s">
        <v>92</v>
      </c>
    </row>
    <row r="830" spans="1:14" x14ac:dyDescent="0.2">
      <c r="A830">
        <v>1254070</v>
      </c>
      <c r="B830">
        <f>YEAR(#REF!)</f>
        <v>2021</v>
      </c>
      <c r="C830" t="s">
        <v>513</v>
      </c>
      <c r="D830" s="1">
        <v>44306</v>
      </c>
      <c r="E830" t="s">
        <v>24</v>
      </c>
      <c r="F830" t="s">
        <v>49</v>
      </c>
      <c r="H830" t="s">
        <v>24</v>
      </c>
      <c r="I830" t="s">
        <v>77</v>
      </c>
      <c r="J830" t="s">
        <v>78</v>
      </c>
      <c r="K830" t="s">
        <v>49</v>
      </c>
      <c r="L830" t="s">
        <v>151</v>
      </c>
      <c r="M830" t="s">
        <v>106</v>
      </c>
      <c r="N830" t="s">
        <v>107</v>
      </c>
    </row>
    <row r="831" spans="1:14" x14ac:dyDescent="0.2">
      <c r="A831">
        <v>1254071</v>
      </c>
      <c r="B831">
        <f>YEAR(#REF!)</f>
        <v>2021</v>
      </c>
      <c r="C831" t="s">
        <v>513</v>
      </c>
      <c r="D831" s="1">
        <v>44307</v>
      </c>
      <c r="E831" t="s">
        <v>62</v>
      </c>
      <c r="F831" t="s">
        <v>39</v>
      </c>
      <c r="H831" t="s">
        <v>62</v>
      </c>
      <c r="I831" t="s">
        <v>77</v>
      </c>
      <c r="J831" t="s">
        <v>78</v>
      </c>
      <c r="K831" t="s">
        <v>39</v>
      </c>
      <c r="L831" t="s">
        <v>220</v>
      </c>
      <c r="M831" t="s">
        <v>106</v>
      </c>
      <c r="N831" t="s">
        <v>107</v>
      </c>
    </row>
    <row r="832" spans="1:14" x14ac:dyDescent="0.2">
      <c r="A832">
        <v>1254072</v>
      </c>
      <c r="B832">
        <f>YEAR(#REF!)</f>
        <v>2021</v>
      </c>
      <c r="C832" t="s">
        <v>513</v>
      </c>
      <c r="D832" s="1">
        <v>44307</v>
      </c>
      <c r="E832" t="s">
        <v>15</v>
      </c>
      <c r="F832" t="s">
        <v>29</v>
      </c>
      <c r="H832" t="s">
        <v>29</v>
      </c>
      <c r="I832" t="s">
        <v>89</v>
      </c>
      <c r="J832" t="s">
        <v>78</v>
      </c>
      <c r="K832" t="s">
        <v>15</v>
      </c>
      <c r="L832" t="s">
        <v>189</v>
      </c>
      <c r="M832" t="s">
        <v>91</v>
      </c>
      <c r="N832" t="s">
        <v>92</v>
      </c>
    </row>
    <row r="833" spans="1:14" x14ac:dyDescent="0.2">
      <c r="A833">
        <v>1254073</v>
      </c>
      <c r="B833">
        <f>YEAR(#REF!)</f>
        <v>2021</v>
      </c>
      <c r="C833" t="s">
        <v>513</v>
      </c>
      <c r="D833" s="1">
        <v>44308</v>
      </c>
      <c r="E833" t="s">
        <v>14</v>
      </c>
      <c r="F833" t="s">
        <v>20</v>
      </c>
      <c r="H833" t="s">
        <v>20</v>
      </c>
      <c r="I833" t="s">
        <v>89</v>
      </c>
      <c r="J833" t="s">
        <v>78</v>
      </c>
      <c r="K833" t="s">
        <v>20</v>
      </c>
      <c r="L833" t="s">
        <v>458</v>
      </c>
      <c r="M833" t="s">
        <v>91</v>
      </c>
      <c r="N833" t="s">
        <v>92</v>
      </c>
    </row>
    <row r="834" spans="1:14" x14ac:dyDescent="0.2">
      <c r="A834">
        <v>1254074</v>
      </c>
      <c r="B834">
        <f>YEAR(#REF!)</f>
        <v>2021</v>
      </c>
      <c r="C834" t="s">
        <v>513</v>
      </c>
      <c r="D834" s="1">
        <v>44309</v>
      </c>
      <c r="E834" t="s">
        <v>24</v>
      </c>
      <c r="F834" t="s">
        <v>62</v>
      </c>
      <c r="H834" t="s">
        <v>62</v>
      </c>
      <c r="I834" t="s">
        <v>89</v>
      </c>
      <c r="J834" t="s">
        <v>78</v>
      </c>
      <c r="K834" t="s">
        <v>62</v>
      </c>
      <c r="L834" t="s">
        <v>50</v>
      </c>
      <c r="M834" t="s">
        <v>106</v>
      </c>
      <c r="N834" t="s">
        <v>107</v>
      </c>
    </row>
    <row r="835" spans="1:14" x14ac:dyDescent="0.2">
      <c r="A835">
        <v>1254075</v>
      </c>
      <c r="B835">
        <f>YEAR(#REF!)</f>
        <v>2021</v>
      </c>
      <c r="C835" t="s">
        <v>513</v>
      </c>
      <c r="D835" s="1">
        <v>44310</v>
      </c>
      <c r="E835" t="s">
        <v>29</v>
      </c>
      <c r="F835" t="s">
        <v>14</v>
      </c>
      <c r="H835" t="s">
        <v>14</v>
      </c>
      <c r="I835" t="s">
        <v>89</v>
      </c>
      <c r="J835" t="s">
        <v>78</v>
      </c>
      <c r="K835" t="s">
        <v>14</v>
      </c>
      <c r="L835" t="s">
        <v>449</v>
      </c>
      <c r="M835" t="s">
        <v>91</v>
      </c>
      <c r="N835" t="s">
        <v>92</v>
      </c>
    </row>
    <row r="836" spans="1:14" x14ac:dyDescent="0.2">
      <c r="A836">
        <v>1254076</v>
      </c>
      <c r="B836">
        <f>YEAR(#REF!)</f>
        <v>2021</v>
      </c>
      <c r="C836" t="s">
        <v>513</v>
      </c>
      <c r="D836" s="1">
        <v>44311</v>
      </c>
      <c r="E836" t="s">
        <v>15</v>
      </c>
      <c r="F836" t="s">
        <v>20</v>
      </c>
      <c r="H836" t="s">
        <v>15</v>
      </c>
      <c r="I836" t="s">
        <v>77</v>
      </c>
      <c r="J836" t="s">
        <v>78</v>
      </c>
      <c r="K836" t="s">
        <v>15</v>
      </c>
      <c r="L836" t="s">
        <v>179</v>
      </c>
      <c r="M836" t="s">
        <v>91</v>
      </c>
      <c r="N836" t="s">
        <v>92</v>
      </c>
    </row>
    <row r="837" spans="1:14" x14ac:dyDescent="0.2">
      <c r="A837">
        <v>1254077</v>
      </c>
      <c r="B837">
        <f>YEAR(#REF!)</f>
        <v>2021</v>
      </c>
      <c r="C837" t="s">
        <v>513</v>
      </c>
      <c r="D837" s="1">
        <v>44311</v>
      </c>
      <c r="E837" t="s">
        <v>49</v>
      </c>
      <c r="F837" t="s">
        <v>39</v>
      </c>
      <c r="H837" t="s">
        <v>49</v>
      </c>
      <c r="I837" t="s">
        <v>77</v>
      </c>
      <c r="J837" t="s">
        <v>310</v>
      </c>
      <c r="K837" t="s">
        <v>79</v>
      </c>
      <c r="L837" t="s">
        <v>363</v>
      </c>
      <c r="M837" t="s">
        <v>106</v>
      </c>
      <c r="N837" t="s">
        <v>107</v>
      </c>
    </row>
    <row r="838" spans="1:14" x14ac:dyDescent="0.2">
      <c r="A838">
        <v>1254078</v>
      </c>
      <c r="B838">
        <f>YEAR(#REF!)</f>
        <v>2021</v>
      </c>
      <c r="C838" t="s">
        <v>513</v>
      </c>
      <c r="D838" s="1">
        <v>44312</v>
      </c>
      <c r="E838" t="s">
        <v>62</v>
      </c>
      <c r="F838" t="s">
        <v>29</v>
      </c>
      <c r="H838" t="s">
        <v>29</v>
      </c>
      <c r="I838" t="s">
        <v>89</v>
      </c>
      <c r="J838" t="s">
        <v>78</v>
      </c>
      <c r="K838" t="s">
        <v>29</v>
      </c>
      <c r="L838" t="s">
        <v>427</v>
      </c>
      <c r="M838" t="s">
        <v>129</v>
      </c>
      <c r="N838" t="s">
        <v>130</v>
      </c>
    </row>
    <row r="839" spans="1:14" x14ac:dyDescent="0.2">
      <c r="A839">
        <v>1254079</v>
      </c>
      <c r="B839">
        <f>YEAR(#REF!)</f>
        <v>2021</v>
      </c>
      <c r="C839" t="s">
        <v>513</v>
      </c>
      <c r="D839" s="1">
        <v>44313</v>
      </c>
      <c r="E839" t="s">
        <v>20</v>
      </c>
      <c r="F839" t="s">
        <v>49</v>
      </c>
      <c r="H839" t="s">
        <v>49</v>
      </c>
      <c r="I839" t="s">
        <v>89</v>
      </c>
      <c r="J839" t="s">
        <v>78</v>
      </c>
      <c r="K839" t="s">
        <v>20</v>
      </c>
      <c r="L839" t="s">
        <v>38</v>
      </c>
      <c r="M839" t="s">
        <v>129</v>
      </c>
      <c r="N839" t="s">
        <v>130</v>
      </c>
    </row>
    <row r="840" spans="1:14" x14ac:dyDescent="0.2">
      <c r="A840">
        <v>1254080</v>
      </c>
      <c r="B840">
        <f>YEAR(#REF!)</f>
        <v>2021</v>
      </c>
      <c r="C840" t="s">
        <v>513</v>
      </c>
      <c r="D840" s="1">
        <v>44314</v>
      </c>
      <c r="E840" t="s">
        <v>39</v>
      </c>
      <c r="F840" t="s">
        <v>15</v>
      </c>
      <c r="H840" t="s">
        <v>39</v>
      </c>
      <c r="I840" t="s">
        <v>77</v>
      </c>
      <c r="J840" t="s">
        <v>78</v>
      </c>
      <c r="K840" t="s">
        <v>15</v>
      </c>
      <c r="L840" t="s">
        <v>178</v>
      </c>
      <c r="M840" t="s">
        <v>149</v>
      </c>
      <c r="N840" t="s">
        <v>88</v>
      </c>
    </row>
    <row r="841" spans="1:14" x14ac:dyDescent="0.2">
      <c r="A841">
        <v>1254082</v>
      </c>
      <c r="B841">
        <f>YEAR(#REF!)</f>
        <v>2021</v>
      </c>
      <c r="C841" t="s">
        <v>513</v>
      </c>
      <c r="D841" s="1">
        <v>44315</v>
      </c>
      <c r="E841" t="s">
        <v>29</v>
      </c>
      <c r="F841" t="s">
        <v>49</v>
      </c>
      <c r="H841" t="s">
        <v>49</v>
      </c>
      <c r="I841" t="s">
        <v>89</v>
      </c>
      <c r="J841" t="s">
        <v>78</v>
      </c>
      <c r="K841" t="s">
        <v>49</v>
      </c>
      <c r="L841" t="s">
        <v>363</v>
      </c>
      <c r="M841" t="s">
        <v>129</v>
      </c>
      <c r="N841" t="s">
        <v>130</v>
      </c>
    </row>
    <row r="842" spans="1:14" x14ac:dyDescent="0.2">
      <c r="A842">
        <v>1254081</v>
      </c>
      <c r="B842">
        <f>YEAR(#REF!)</f>
        <v>2021</v>
      </c>
      <c r="C842" t="s">
        <v>513</v>
      </c>
      <c r="D842" s="1">
        <v>44315</v>
      </c>
      <c r="E842" t="s">
        <v>14</v>
      </c>
      <c r="F842" t="s">
        <v>24</v>
      </c>
      <c r="H842" t="s">
        <v>24</v>
      </c>
      <c r="I842" t="s">
        <v>89</v>
      </c>
      <c r="J842" t="s">
        <v>78</v>
      </c>
      <c r="K842" t="s">
        <v>24</v>
      </c>
      <c r="L842" t="s">
        <v>315</v>
      </c>
      <c r="M842" t="s">
        <v>149</v>
      </c>
      <c r="N842" t="s">
        <v>88</v>
      </c>
    </row>
    <row r="843" spans="1:14" x14ac:dyDescent="0.2">
      <c r="A843">
        <v>1254083</v>
      </c>
      <c r="B843">
        <f>YEAR(#REF!)</f>
        <v>2021</v>
      </c>
      <c r="C843" t="s">
        <v>513</v>
      </c>
      <c r="D843" s="1">
        <v>44316</v>
      </c>
      <c r="E843" t="s">
        <v>62</v>
      </c>
      <c r="F843" t="s">
        <v>20</v>
      </c>
      <c r="H843" t="s">
        <v>20</v>
      </c>
      <c r="I843" t="s">
        <v>89</v>
      </c>
      <c r="J843" t="s">
        <v>78</v>
      </c>
      <c r="K843" t="s">
        <v>62</v>
      </c>
      <c r="L843" t="s">
        <v>401</v>
      </c>
      <c r="M843" t="s">
        <v>129</v>
      </c>
      <c r="N843" t="s">
        <v>130</v>
      </c>
    </row>
    <row r="844" spans="1:14" x14ac:dyDescent="0.2">
      <c r="A844">
        <v>1254084</v>
      </c>
      <c r="B844">
        <f>YEAR(#REF!)</f>
        <v>2021</v>
      </c>
      <c r="C844" t="s">
        <v>513</v>
      </c>
      <c r="D844" s="1">
        <v>44317</v>
      </c>
      <c r="E844" t="s">
        <v>15</v>
      </c>
      <c r="F844" t="s">
        <v>24</v>
      </c>
      <c r="H844" t="s">
        <v>24</v>
      </c>
      <c r="I844" t="s">
        <v>89</v>
      </c>
      <c r="J844" t="s">
        <v>78</v>
      </c>
      <c r="K844" t="s">
        <v>24</v>
      </c>
      <c r="L844" t="s">
        <v>123</v>
      </c>
      <c r="M844" t="s">
        <v>149</v>
      </c>
      <c r="N844" t="s">
        <v>88</v>
      </c>
    </row>
    <row r="845" spans="1:14" x14ac:dyDescent="0.2">
      <c r="A845">
        <v>1254086</v>
      </c>
      <c r="B845">
        <f>YEAR(#REF!)</f>
        <v>2021</v>
      </c>
      <c r="C845" t="s">
        <v>513</v>
      </c>
      <c r="D845" s="1">
        <v>44318</v>
      </c>
      <c r="E845" t="s">
        <v>62</v>
      </c>
      <c r="F845" t="s">
        <v>49</v>
      </c>
      <c r="H845" t="s">
        <v>49</v>
      </c>
      <c r="I845" t="s">
        <v>89</v>
      </c>
      <c r="J845" t="s">
        <v>78</v>
      </c>
      <c r="K845" t="s">
        <v>49</v>
      </c>
      <c r="L845" t="s">
        <v>230</v>
      </c>
      <c r="M845" t="s">
        <v>129</v>
      </c>
      <c r="N845" t="s">
        <v>130</v>
      </c>
    </row>
    <row r="846" spans="1:14" x14ac:dyDescent="0.2">
      <c r="A846">
        <v>1254085</v>
      </c>
      <c r="B846">
        <f>YEAR(#REF!)</f>
        <v>2021</v>
      </c>
      <c r="C846" t="s">
        <v>513</v>
      </c>
      <c r="D846" s="1">
        <v>44318</v>
      </c>
      <c r="E846" t="s">
        <v>14</v>
      </c>
      <c r="F846" t="s">
        <v>39</v>
      </c>
      <c r="H846" t="s">
        <v>39</v>
      </c>
      <c r="I846" t="s">
        <v>89</v>
      </c>
      <c r="J846" t="s">
        <v>78</v>
      </c>
      <c r="K846" t="s">
        <v>14</v>
      </c>
      <c r="L846" t="s">
        <v>247</v>
      </c>
      <c r="M846" t="s">
        <v>149</v>
      </c>
      <c r="N846" t="s">
        <v>88</v>
      </c>
    </row>
    <row r="847" spans="1:14" x14ac:dyDescent="0.2">
      <c r="A847">
        <v>1254104</v>
      </c>
      <c r="B847">
        <f>YEAR(#REF!)</f>
        <v>2021</v>
      </c>
      <c r="C847" t="s">
        <v>513</v>
      </c>
      <c r="D847" s="1">
        <v>44458</v>
      </c>
      <c r="E847" t="s">
        <v>15</v>
      </c>
      <c r="F847" t="s">
        <v>24</v>
      </c>
      <c r="H847" t="s">
        <v>15</v>
      </c>
      <c r="I847" t="s">
        <v>77</v>
      </c>
      <c r="J847" t="s">
        <v>78</v>
      </c>
      <c r="K847" t="s">
        <v>15</v>
      </c>
      <c r="L847" t="s">
        <v>178</v>
      </c>
      <c r="M847" t="s">
        <v>157</v>
      </c>
      <c r="N847" t="s">
        <v>190</v>
      </c>
    </row>
    <row r="848" spans="1:14" x14ac:dyDescent="0.2">
      <c r="A848">
        <v>1254087</v>
      </c>
      <c r="B848">
        <f>YEAR(#REF!)</f>
        <v>2021</v>
      </c>
      <c r="C848" t="s">
        <v>513</v>
      </c>
      <c r="D848" s="1">
        <v>44459</v>
      </c>
      <c r="E848" t="s">
        <v>20</v>
      </c>
      <c r="F848" t="s">
        <v>29</v>
      </c>
      <c r="H848" t="s">
        <v>20</v>
      </c>
      <c r="I848" t="s">
        <v>77</v>
      </c>
      <c r="J848" t="s">
        <v>78</v>
      </c>
      <c r="K848" t="s">
        <v>29</v>
      </c>
      <c r="L848" t="s">
        <v>244</v>
      </c>
      <c r="M848" t="s">
        <v>124</v>
      </c>
      <c r="N848" t="s">
        <v>104</v>
      </c>
    </row>
    <row r="849" spans="1:14" x14ac:dyDescent="0.2">
      <c r="A849">
        <v>1254111</v>
      </c>
      <c r="B849">
        <f>YEAR(#REF!)</f>
        <v>2021</v>
      </c>
      <c r="C849" t="s">
        <v>513</v>
      </c>
      <c r="D849" s="1">
        <v>44460</v>
      </c>
      <c r="E849" t="s">
        <v>14</v>
      </c>
      <c r="F849" t="s">
        <v>62</v>
      </c>
      <c r="H849" t="s">
        <v>62</v>
      </c>
      <c r="I849" t="s">
        <v>89</v>
      </c>
      <c r="J849" t="s">
        <v>78</v>
      </c>
      <c r="K849" t="s">
        <v>14</v>
      </c>
      <c r="L849" t="s">
        <v>436</v>
      </c>
      <c r="M849" t="s">
        <v>157</v>
      </c>
      <c r="N849" t="s">
        <v>190</v>
      </c>
    </row>
    <row r="850" spans="1:14" x14ac:dyDescent="0.2">
      <c r="A850">
        <v>1254105</v>
      </c>
      <c r="B850">
        <f>YEAR(#REF!)</f>
        <v>2021</v>
      </c>
      <c r="C850" t="s">
        <v>513</v>
      </c>
      <c r="D850" s="1">
        <v>44461</v>
      </c>
      <c r="E850" t="s">
        <v>39</v>
      </c>
      <c r="F850" t="s">
        <v>49</v>
      </c>
      <c r="H850" t="s">
        <v>39</v>
      </c>
      <c r="I850" t="s">
        <v>77</v>
      </c>
      <c r="J850" t="s">
        <v>78</v>
      </c>
      <c r="K850" t="s">
        <v>49</v>
      </c>
      <c r="L850" t="s">
        <v>268</v>
      </c>
      <c r="M850" t="s">
        <v>157</v>
      </c>
      <c r="N850" t="s">
        <v>190</v>
      </c>
    </row>
    <row r="851" spans="1:14" x14ac:dyDescent="0.2">
      <c r="A851">
        <v>1254096</v>
      </c>
      <c r="B851">
        <f>YEAR(#REF!)</f>
        <v>2021</v>
      </c>
      <c r="C851" t="s">
        <v>513</v>
      </c>
      <c r="D851" s="1">
        <v>44462</v>
      </c>
      <c r="E851" t="s">
        <v>24</v>
      </c>
      <c r="F851" t="s">
        <v>29</v>
      </c>
      <c r="H851" t="s">
        <v>29</v>
      </c>
      <c r="I851" t="s">
        <v>89</v>
      </c>
      <c r="J851" t="s">
        <v>78</v>
      </c>
      <c r="K851" t="s">
        <v>29</v>
      </c>
      <c r="L851" t="s">
        <v>133</v>
      </c>
      <c r="M851" t="s">
        <v>124</v>
      </c>
      <c r="N851" t="s">
        <v>104</v>
      </c>
    </row>
    <row r="852" spans="1:14" x14ac:dyDescent="0.2">
      <c r="A852">
        <v>1254113</v>
      </c>
      <c r="B852">
        <f>YEAR(#REF!)</f>
        <v>2021</v>
      </c>
      <c r="C852" t="s">
        <v>513</v>
      </c>
      <c r="D852" s="1">
        <v>44463</v>
      </c>
      <c r="E852" t="s">
        <v>20</v>
      </c>
      <c r="F852" t="s">
        <v>15</v>
      </c>
      <c r="H852" t="s">
        <v>15</v>
      </c>
      <c r="I852" t="s">
        <v>89</v>
      </c>
      <c r="J852" t="s">
        <v>78</v>
      </c>
      <c r="K852" t="s">
        <v>15</v>
      </c>
      <c r="L852" t="s">
        <v>368</v>
      </c>
      <c r="M852" t="s">
        <v>168</v>
      </c>
      <c r="N852" t="s">
        <v>169</v>
      </c>
    </row>
    <row r="853" spans="1:14" x14ac:dyDescent="0.2">
      <c r="A853">
        <v>1254107</v>
      </c>
      <c r="B853">
        <f>YEAR(#REF!)</f>
        <v>2021</v>
      </c>
      <c r="C853" t="s">
        <v>513</v>
      </c>
      <c r="D853" s="1">
        <v>44464</v>
      </c>
      <c r="E853" t="s">
        <v>62</v>
      </c>
      <c r="F853" t="s">
        <v>39</v>
      </c>
      <c r="H853" t="s">
        <v>39</v>
      </c>
      <c r="I853" t="s">
        <v>89</v>
      </c>
      <c r="J853" t="s">
        <v>78</v>
      </c>
      <c r="K853" t="s">
        <v>62</v>
      </c>
      <c r="L853" t="s">
        <v>167</v>
      </c>
      <c r="M853" t="s">
        <v>168</v>
      </c>
      <c r="N853" t="s">
        <v>169</v>
      </c>
    </row>
    <row r="854" spans="1:14" x14ac:dyDescent="0.2">
      <c r="A854">
        <v>1254097</v>
      </c>
      <c r="B854">
        <f>YEAR(#REF!)</f>
        <v>2021</v>
      </c>
      <c r="C854" t="s">
        <v>513</v>
      </c>
      <c r="D854" s="1">
        <v>44464</v>
      </c>
      <c r="E854" t="s">
        <v>49</v>
      </c>
      <c r="F854" t="s">
        <v>14</v>
      </c>
      <c r="H854" t="s">
        <v>14</v>
      </c>
      <c r="I854" t="s">
        <v>89</v>
      </c>
      <c r="J854" t="s">
        <v>78</v>
      </c>
      <c r="K854" t="s">
        <v>49</v>
      </c>
      <c r="L854" t="s">
        <v>128</v>
      </c>
      <c r="M854" t="s">
        <v>124</v>
      </c>
      <c r="N854" t="s">
        <v>104</v>
      </c>
    </row>
    <row r="855" spans="1:14" x14ac:dyDescent="0.2">
      <c r="A855">
        <v>1254098</v>
      </c>
      <c r="B855">
        <f>YEAR(#REF!)</f>
        <v>2021</v>
      </c>
      <c r="C855" t="s">
        <v>513</v>
      </c>
      <c r="D855" s="1">
        <v>44465</v>
      </c>
      <c r="E855" t="s">
        <v>29</v>
      </c>
      <c r="F855" t="s">
        <v>15</v>
      </c>
      <c r="H855" t="s">
        <v>29</v>
      </c>
      <c r="I855" t="s">
        <v>77</v>
      </c>
      <c r="J855" t="s">
        <v>78</v>
      </c>
      <c r="K855" t="s">
        <v>15</v>
      </c>
      <c r="L855" t="s">
        <v>179</v>
      </c>
      <c r="M855" t="s">
        <v>124</v>
      </c>
      <c r="N855" t="s">
        <v>104</v>
      </c>
    </row>
    <row r="856" spans="1:14" x14ac:dyDescent="0.2">
      <c r="A856">
        <v>1254108</v>
      </c>
      <c r="B856">
        <f>YEAR(#REF!)</f>
        <v>2021</v>
      </c>
      <c r="C856" t="s">
        <v>513</v>
      </c>
      <c r="D856" s="1">
        <v>44465</v>
      </c>
      <c r="E856" t="s">
        <v>20</v>
      </c>
      <c r="F856" t="s">
        <v>24</v>
      </c>
      <c r="H856" t="s">
        <v>24</v>
      </c>
      <c r="I856" t="s">
        <v>89</v>
      </c>
      <c r="J856" t="s">
        <v>78</v>
      </c>
      <c r="K856" t="s">
        <v>20</v>
      </c>
      <c r="L856" t="s">
        <v>248</v>
      </c>
      <c r="M856" t="s">
        <v>157</v>
      </c>
      <c r="N856" t="s">
        <v>190</v>
      </c>
    </row>
    <row r="857" spans="1:14" x14ac:dyDescent="0.2">
      <c r="A857">
        <v>1254100</v>
      </c>
      <c r="B857">
        <f>YEAR(#REF!)</f>
        <v>2021</v>
      </c>
      <c r="C857" t="s">
        <v>513</v>
      </c>
      <c r="D857" s="1">
        <v>44466</v>
      </c>
      <c r="E857" t="s">
        <v>14</v>
      </c>
      <c r="F857" t="s">
        <v>39</v>
      </c>
      <c r="H857" t="s">
        <v>14</v>
      </c>
      <c r="I857" t="s">
        <v>77</v>
      </c>
      <c r="J857" t="s">
        <v>78</v>
      </c>
      <c r="K857" t="s">
        <v>39</v>
      </c>
      <c r="L857" t="s">
        <v>433</v>
      </c>
      <c r="M857" t="s">
        <v>157</v>
      </c>
      <c r="N857" t="s">
        <v>190</v>
      </c>
    </row>
    <row r="858" spans="1:14" x14ac:dyDescent="0.2">
      <c r="A858">
        <v>1254099</v>
      </c>
      <c r="B858">
        <f>YEAR(#REF!)</f>
        <v>2021</v>
      </c>
      <c r="C858" t="s">
        <v>513</v>
      </c>
      <c r="D858" s="1">
        <v>44467</v>
      </c>
      <c r="E858" t="s">
        <v>62</v>
      </c>
      <c r="F858" t="s">
        <v>24</v>
      </c>
      <c r="H858" t="s">
        <v>24</v>
      </c>
      <c r="I858" t="s">
        <v>89</v>
      </c>
      <c r="J858" t="s">
        <v>78</v>
      </c>
      <c r="K858" t="s">
        <v>24</v>
      </c>
      <c r="L858" t="s">
        <v>123</v>
      </c>
      <c r="M858" t="s">
        <v>124</v>
      </c>
      <c r="N858" t="s">
        <v>104</v>
      </c>
    </row>
    <row r="859" spans="1:14" x14ac:dyDescent="0.2">
      <c r="A859">
        <v>1254092</v>
      </c>
      <c r="B859">
        <f>YEAR(#REF!)</f>
        <v>2021</v>
      </c>
      <c r="C859" t="s">
        <v>513</v>
      </c>
      <c r="D859" s="1">
        <v>44467</v>
      </c>
      <c r="E859" t="s">
        <v>49</v>
      </c>
      <c r="F859" t="s">
        <v>29</v>
      </c>
      <c r="H859" t="s">
        <v>29</v>
      </c>
      <c r="I859" t="s">
        <v>89</v>
      </c>
      <c r="J859" t="s">
        <v>78</v>
      </c>
      <c r="K859" t="s">
        <v>29</v>
      </c>
      <c r="L859" t="s">
        <v>133</v>
      </c>
      <c r="M859" t="s">
        <v>168</v>
      </c>
      <c r="N859" t="s">
        <v>169</v>
      </c>
    </row>
    <row r="860" spans="1:14" x14ac:dyDescent="0.2">
      <c r="A860">
        <v>1254103</v>
      </c>
      <c r="B860">
        <f>YEAR(#REF!)</f>
        <v>2021</v>
      </c>
      <c r="C860" t="s">
        <v>513</v>
      </c>
      <c r="D860" s="1">
        <v>44468</v>
      </c>
      <c r="E860" t="s">
        <v>14</v>
      </c>
      <c r="F860" t="s">
        <v>20</v>
      </c>
      <c r="H860" t="s">
        <v>20</v>
      </c>
      <c r="I860" t="s">
        <v>89</v>
      </c>
      <c r="J860" t="s">
        <v>78</v>
      </c>
      <c r="K860" t="s">
        <v>20</v>
      </c>
      <c r="L860" t="s">
        <v>333</v>
      </c>
      <c r="M860" t="s">
        <v>157</v>
      </c>
      <c r="N860" t="s">
        <v>190</v>
      </c>
    </row>
    <row r="861" spans="1:14" x14ac:dyDescent="0.2">
      <c r="A861">
        <v>1254091</v>
      </c>
      <c r="B861">
        <f>YEAR(#REF!)</f>
        <v>2021</v>
      </c>
      <c r="C861" t="s">
        <v>513</v>
      </c>
      <c r="D861" s="1">
        <v>44469</v>
      </c>
      <c r="E861" t="s">
        <v>39</v>
      </c>
      <c r="F861" t="s">
        <v>15</v>
      </c>
      <c r="H861" t="s">
        <v>15</v>
      </c>
      <c r="I861" t="s">
        <v>89</v>
      </c>
      <c r="J861" t="s">
        <v>78</v>
      </c>
      <c r="K861" t="s">
        <v>15</v>
      </c>
      <c r="L861" t="s">
        <v>266</v>
      </c>
      <c r="M861" t="s">
        <v>168</v>
      </c>
      <c r="N861" t="s">
        <v>169</v>
      </c>
    </row>
    <row r="862" spans="1:14" x14ac:dyDescent="0.2">
      <c r="A862">
        <v>1254102</v>
      </c>
      <c r="B862">
        <f>YEAR(#REF!)</f>
        <v>2021</v>
      </c>
      <c r="C862" t="s">
        <v>513</v>
      </c>
      <c r="D862" s="1">
        <v>44470</v>
      </c>
      <c r="E862" t="s">
        <v>29</v>
      </c>
      <c r="F862" t="s">
        <v>62</v>
      </c>
      <c r="H862" t="s">
        <v>62</v>
      </c>
      <c r="I862" t="s">
        <v>89</v>
      </c>
      <c r="J862" t="s">
        <v>78</v>
      </c>
      <c r="K862" t="s">
        <v>62</v>
      </c>
      <c r="L862" t="s">
        <v>50</v>
      </c>
      <c r="M862" t="s">
        <v>157</v>
      </c>
      <c r="N862" t="s">
        <v>190</v>
      </c>
    </row>
    <row r="863" spans="1:14" x14ac:dyDescent="0.2">
      <c r="A863">
        <v>1254089</v>
      </c>
      <c r="B863">
        <f>YEAR(#REF!)</f>
        <v>2021</v>
      </c>
      <c r="C863" t="s">
        <v>513</v>
      </c>
      <c r="D863" s="1">
        <v>44471</v>
      </c>
      <c r="E863" t="s">
        <v>15</v>
      </c>
      <c r="F863" t="s">
        <v>14</v>
      </c>
      <c r="H863" t="s">
        <v>14</v>
      </c>
      <c r="I863" t="s">
        <v>89</v>
      </c>
      <c r="J863" t="s">
        <v>78</v>
      </c>
      <c r="K863" t="s">
        <v>14</v>
      </c>
      <c r="L863" t="s">
        <v>178</v>
      </c>
      <c r="M863" t="s">
        <v>124</v>
      </c>
      <c r="N863" t="s">
        <v>104</v>
      </c>
    </row>
    <row r="864" spans="1:14" x14ac:dyDescent="0.2">
      <c r="A864">
        <v>1254112</v>
      </c>
      <c r="B864">
        <f>YEAR(#REF!)</f>
        <v>2021</v>
      </c>
      <c r="C864" t="s">
        <v>513</v>
      </c>
      <c r="D864" s="1">
        <v>44471</v>
      </c>
      <c r="E864" t="s">
        <v>24</v>
      </c>
      <c r="F864" t="s">
        <v>49</v>
      </c>
      <c r="H864" t="s">
        <v>49</v>
      </c>
      <c r="I864" t="s">
        <v>89</v>
      </c>
      <c r="J864" t="s">
        <v>78</v>
      </c>
      <c r="K864" t="s">
        <v>49</v>
      </c>
      <c r="L864" t="s">
        <v>137</v>
      </c>
      <c r="M864" t="s">
        <v>168</v>
      </c>
      <c r="N864" t="s">
        <v>169</v>
      </c>
    </row>
    <row r="865" spans="1:14" x14ac:dyDescent="0.2">
      <c r="A865">
        <v>1254090</v>
      </c>
      <c r="B865">
        <f>YEAR(#REF!)</f>
        <v>2021</v>
      </c>
      <c r="C865" t="s">
        <v>513</v>
      </c>
      <c r="D865" s="1">
        <v>44472</v>
      </c>
      <c r="E865" t="s">
        <v>20</v>
      </c>
      <c r="F865" t="s">
        <v>62</v>
      </c>
      <c r="H865" t="s">
        <v>20</v>
      </c>
      <c r="I865" t="s">
        <v>77</v>
      </c>
      <c r="J865" t="s">
        <v>78</v>
      </c>
      <c r="K865" t="s">
        <v>20</v>
      </c>
      <c r="L865" t="s">
        <v>248</v>
      </c>
      <c r="M865" t="s">
        <v>168</v>
      </c>
      <c r="N865" t="s">
        <v>169</v>
      </c>
    </row>
    <row r="866" spans="1:14" x14ac:dyDescent="0.2">
      <c r="A866">
        <v>1254109</v>
      </c>
      <c r="B866">
        <f>YEAR(#REF!)</f>
        <v>2021</v>
      </c>
      <c r="C866" t="s">
        <v>513</v>
      </c>
      <c r="D866" s="1">
        <v>44472</v>
      </c>
      <c r="E866" t="s">
        <v>39</v>
      </c>
      <c r="F866" t="s">
        <v>29</v>
      </c>
      <c r="H866" t="s">
        <v>39</v>
      </c>
      <c r="I866" t="s">
        <v>77</v>
      </c>
      <c r="J866" t="s">
        <v>78</v>
      </c>
      <c r="K866" t="s">
        <v>29</v>
      </c>
      <c r="L866" t="s">
        <v>59</v>
      </c>
      <c r="M866" t="s">
        <v>157</v>
      </c>
      <c r="N866" t="s">
        <v>190</v>
      </c>
    </row>
    <row r="867" spans="1:14" x14ac:dyDescent="0.2">
      <c r="A867">
        <v>1254110</v>
      </c>
      <c r="B867">
        <f>YEAR(#REF!)</f>
        <v>2021</v>
      </c>
      <c r="C867" t="s">
        <v>513</v>
      </c>
      <c r="D867" s="1">
        <v>44473</v>
      </c>
      <c r="E867" t="s">
        <v>15</v>
      </c>
      <c r="F867" t="s">
        <v>49</v>
      </c>
      <c r="H867" t="s">
        <v>49</v>
      </c>
      <c r="I867" t="s">
        <v>89</v>
      </c>
      <c r="J867" t="s">
        <v>78</v>
      </c>
      <c r="K867" t="s">
        <v>49</v>
      </c>
      <c r="L867" t="s">
        <v>137</v>
      </c>
      <c r="M867" t="s">
        <v>157</v>
      </c>
      <c r="N867" t="s">
        <v>190</v>
      </c>
    </row>
    <row r="868" spans="1:14" x14ac:dyDescent="0.2">
      <c r="A868">
        <v>1254093</v>
      </c>
      <c r="B868">
        <f>YEAR(#REF!)</f>
        <v>2021</v>
      </c>
      <c r="C868" t="s">
        <v>513</v>
      </c>
      <c r="D868" s="1">
        <v>44474</v>
      </c>
      <c r="E868" t="s">
        <v>14</v>
      </c>
      <c r="F868" t="s">
        <v>24</v>
      </c>
      <c r="H868" t="s">
        <v>24</v>
      </c>
      <c r="I868" t="s">
        <v>89</v>
      </c>
      <c r="J868" t="s">
        <v>78</v>
      </c>
      <c r="K868" t="s">
        <v>24</v>
      </c>
      <c r="L868" t="s">
        <v>221</v>
      </c>
      <c r="M868" t="s">
        <v>168</v>
      </c>
      <c r="N868" t="s">
        <v>169</v>
      </c>
    </row>
    <row r="869" spans="1:14" x14ac:dyDescent="0.2">
      <c r="A869">
        <v>1254095</v>
      </c>
      <c r="B869">
        <f>YEAR(#REF!)</f>
        <v>2021</v>
      </c>
      <c r="C869" t="s">
        <v>513</v>
      </c>
      <c r="D869" s="1">
        <v>44475</v>
      </c>
      <c r="E869" t="s">
        <v>39</v>
      </c>
      <c r="F869" t="s">
        <v>20</v>
      </c>
      <c r="H869" t="s">
        <v>20</v>
      </c>
      <c r="I869" t="s">
        <v>89</v>
      </c>
      <c r="J869" t="s">
        <v>78</v>
      </c>
      <c r="K869" t="s">
        <v>39</v>
      </c>
      <c r="L869" t="s">
        <v>143</v>
      </c>
      <c r="M869" t="s">
        <v>124</v>
      </c>
      <c r="N869" t="s">
        <v>104</v>
      </c>
    </row>
    <row r="870" spans="1:14" x14ac:dyDescent="0.2">
      <c r="A870">
        <v>1254106</v>
      </c>
      <c r="B870">
        <f>YEAR(#REF!)</f>
        <v>2021</v>
      </c>
      <c r="C870" t="s">
        <v>513</v>
      </c>
      <c r="D870" s="1">
        <v>44476</v>
      </c>
      <c r="E870" t="s">
        <v>29</v>
      </c>
      <c r="F870" t="s">
        <v>14</v>
      </c>
      <c r="H870" t="s">
        <v>14</v>
      </c>
      <c r="I870" t="s">
        <v>89</v>
      </c>
      <c r="J870" t="s">
        <v>78</v>
      </c>
      <c r="K870" t="s">
        <v>29</v>
      </c>
      <c r="L870" t="s">
        <v>298</v>
      </c>
      <c r="M870" t="s">
        <v>168</v>
      </c>
      <c r="N870" t="s">
        <v>169</v>
      </c>
    </row>
    <row r="871" spans="1:14" x14ac:dyDescent="0.2">
      <c r="A871">
        <v>1254094</v>
      </c>
      <c r="B871">
        <f>YEAR(#REF!)</f>
        <v>2021</v>
      </c>
      <c r="C871" t="s">
        <v>513</v>
      </c>
      <c r="D871" s="1">
        <v>44476</v>
      </c>
      <c r="E871" t="s">
        <v>15</v>
      </c>
      <c r="F871" t="s">
        <v>62</v>
      </c>
      <c r="H871" t="s">
        <v>62</v>
      </c>
      <c r="I871" t="s">
        <v>89</v>
      </c>
      <c r="J871" t="s">
        <v>78</v>
      </c>
      <c r="K871" t="s">
        <v>62</v>
      </c>
      <c r="L871" t="s">
        <v>50</v>
      </c>
      <c r="M871" t="s">
        <v>157</v>
      </c>
      <c r="N871" t="s">
        <v>190</v>
      </c>
    </row>
    <row r="872" spans="1:14" x14ac:dyDescent="0.2">
      <c r="A872">
        <v>1254088</v>
      </c>
      <c r="B872">
        <f>YEAR(#REF!)</f>
        <v>2021</v>
      </c>
      <c r="C872" t="s">
        <v>513</v>
      </c>
      <c r="D872" s="1">
        <v>44477</v>
      </c>
      <c r="E872" t="s">
        <v>24</v>
      </c>
      <c r="F872" t="s">
        <v>39</v>
      </c>
      <c r="H872" t="s">
        <v>24</v>
      </c>
      <c r="I872" t="s">
        <v>77</v>
      </c>
      <c r="J872" t="s">
        <v>78</v>
      </c>
      <c r="K872" t="s">
        <v>24</v>
      </c>
      <c r="L872" t="s">
        <v>213</v>
      </c>
      <c r="M872" t="s">
        <v>124</v>
      </c>
      <c r="N872" t="s">
        <v>104</v>
      </c>
    </row>
    <row r="873" spans="1:14" x14ac:dyDescent="0.2">
      <c r="A873">
        <v>1254101</v>
      </c>
      <c r="B873">
        <f>YEAR(#REF!)</f>
        <v>2021</v>
      </c>
      <c r="C873" t="s">
        <v>513</v>
      </c>
      <c r="D873" s="1">
        <v>44477</v>
      </c>
      <c r="E873" t="s">
        <v>49</v>
      </c>
      <c r="F873" t="s">
        <v>20</v>
      </c>
      <c r="H873" t="s">
        <v>20</v>
      </c>
      <c r="I873" t="s">
        <v>89</v>
      </c>
      <c r="J873" t="s">
        <v>78</v>
      </c>
      <c r="K873" t="s">
        <v>20</v>
      </c>
      <c r="L873" t="s">
        <v>453</v>
      </c>
      <c r="M873" t="s">
        <v>157</v>
      </c>
      <c r="N873" t="s">
        <v>190</v>
      </c>
    </row>
    <row r="874" spans="1:14" x14ac:dyDescent="0.2">
      <c r="A874">
        <v>1254114</v>
      </c>
      <c r="B874">
        <f>YEAR(#REF!)</f>
        <v>2021</v>
      </c>
      <c r="C874" t="s">
        <v>513</v>
      </c>
      <c r="D874" s="1">
        <v>44479</v>
      </c>
      <c r="E874" t="s">
        <v>49</v>
      </c>
      <c r="F874" t="s">
        <v>15</v>
      </c>
      <c r="H874" t="s">
        <v>15</v>
      </c>
      <c r="I874" t="s">
        <v>89</v>
      </c>
      <c r="J874" t="s">
        <v>78</v>
      </c>
      <c r="K874" t="s">
        <v>15</v>
      </c>
      <c r="L874" t="s">
        <v>178</v>
      </c>
      <c r="M874" t="s">
        <v>157</v>
      </c>
      <c r="N874" t="s">
        <v>190</v>
      </c>
    </row>
    <row r="875" spans="1:14" x14ac:dyDescent="0.2">
      <c r="A875">
        <v>1254115</v>
      </c>
      <c r="B875">
        <f>YEAR(#REF!)</f>
        <v>2021</v>
      </c>
      <c r="C875" t="s">
        <v>513</v>
      </c>
      <c r="D875" s="1">
        <v>44480</v>
      </c>
      <c r="E875" t="s">
        <v>20</v>
      </c>
      <c r="F875" t="s">
        <v>29</v>
      </c>
      <c r="H875" t="s">
        <v>20</v>
      </c>
      <c r="I875" t="s">
        <v>77</v>
      </c>
      <c r="J875" t="s">
        <v>78</v>
      </c>
      <c r="K875" t="s">
        <v>29</v>
      </c>
      <c r="L875" t="s">
        <v>133</v>
      </c>
      <c r="M875" t="s">
        <v>168</v>
      </c>
      <c r="N875" t="s">
        <v>169</v>
      </c>
    </row>
    <row r="876" spans="1:14" x14ac:dyDescent="0.2">
      <c r="A876">
        <v>1254116</v>
      </c>
      <c r="B876">
        <f>YEAR(#REF!)</f>
        <v>2021</v>
      </c>
      <c r="C876" t="s">
        <v>513</v>
      </c>
      <c r="D876" s="1">
        <v>44482</v>
      </c>
      <c r="E876" t="s">
        <v>49</v>
      </c>
      <c r="F876" t="s">
        <v>29</v>
      </c>
      <c r="H876" t="s">
        <v>29</v>
      </c>
      <c r="I876" t="s">
        <v>89</v>
      </c>
      <c r="J876" t="s">
        <v>78</v>
      </c>
      <c r="K876" t="s">
        <v>29</v>
      </c>
      <c r="L876" t="s">
        <v>224</v>
      </c>
      <c r="M876" t="s">
        <v>168</v>
      </c>
      <c r="N876" t="s">
        <v>169</v>
      </c>
    </row>
    <row r="877" spans="1:14" x14ac:dyDescent="0.2">
      <c r="A877">
        <v>1254117</v>
      </c>
      <c r="B877">
        <f>YEAR(#REF!)</f>
        <v>2021</v>
      </c>
      <c r="C877" t="s">
        <v>513</v>
      </c>
      <c r="D877" s="1">
        <v>44484</v>
      </c>
      <c r="E877" t="s">
        <v>15</v>
      </c>
      <c r="F877" t="s">
        <v>29</v>
      </c>
      <c r="H877" t="s">
        <v>29</v>
      </c>
      <c r="I877" t="s">
        <v>89</v>
      </c>
      <c r="J877" t="s">
        <v>78</v>
      </c>
      <c r="K877" t="s">
        <v>15</v>
      </c>
      <c r="L877" t="s">
        <v>189</v>
      </c>
      <c r="M877" t="s">
        <v>157</v>
      </c>
      <c r="N877" t="s">
        <v>190</v>
      </c>
    </row>
    <row r="878" spans="1:14" x14ac:dyDescent="0.2">
      <c r="A878">
        <v>1304047</v>
      </c>
      <c r="B878">
        <f>YEAR(#REF!)</f>
        <v>2022</v>
      </c>
      <c r="C878" t="s">
        <v>514</v>
      </c>
      <c r="D878" s="1">
        <v>44646</v>
      </c>
      <c r="E878" t="s">
        <v>15</v>
      </c>
      <c r="F878" t="s">
        <v>29</v>
      </c>
      <c r="H878" t="s">
        <v>29</v>
      </c>
      <c r="I878" t="s">
        <v>89</v>
      </c>
      <c r="J878" t="s">
        <v>78</v>
      </c>
      <c r="K878" t="s">
        <v>29</v>
      </c>
      <c r="L878" t="s">
        <v>240</v>
      </c>
      <c r="M878" t="s">
        <v>91</v>
      </c>
      <c r="N878" t="s">
        <v>92</v>
      </c>
    </row>
    <row r="879" spans="1:14" x14ac:dyDescent="0.2">
      <c r="A879">
        <v>1304048</v>
      </c>
      <c r="B879">
        <f>YEAR(#REF!)</f>
        <v>2022</v>
      </c>
      <c r="C879" t="s">
        <v>514</v>
      </c>
      <c r="D879" s="1">
        <v>44647</v>
      </c>
      <c r="E879" t="s">
        <v>24</v>
      </c>
      <c r="F879" t="s">
        <v>49</v>
      </c>
      <c r="H879" t="s">
        <v>49</v>
      </c>
      <c r="I879" t="s">
        <v>89</v>
      </c>
      <c r="J879" t="s">
        <v>78</v>
      </c>
      <c r="K879" t="s">
        <v>49</v>
      </c>
      <c r="L879" t="s">
        <v>218</v>
      </c>
      <c r="M879" t="s">
        <v>113</v>
      </c>
      <c r="N879" t="s">
        <v>92</v>
      </c>
    </row>
    <row r="880" spans="1:14" x14ac:dyDescent="0.2">
      <c r="A880">
        <v>1304049</v>
      </c>
      <c r="B880">
        <f>YEAR(#REF!)</f>
        <v>2022</v>
      </c>
      <c r="C880" t="s">
        <v>514</v>
      </c>
      <c r="D880" s="1">
        <v>44647</v>
      </c>
      <c r="E880" t="s">
        <v>20</v>
      </c>
      <c r="F880" t="s">
        <v>62</v>
      </c>
      <c r="H880" t="s">
        <v>62</v>
      </c>
      <c r="I880" t="s">
        <v>89</v>
      </c>
      <c r="J880" t="s">
        <v>78</v>
      </c>
      <c r="K880" t="s">
        <v>62</v>
      </c>
      <c r="L880" t="s">
        <v>496</v>
      </c>
      <c r="M880" t="s">
        <v>212</v>
      </c>
      <c r="N880" t="s">
        <v>92</v>
      </c>
    </row>
    <row r="881" spans="1:14" x14ac:dyDescent="0.2">
      <c r="A881">
        <v>1304050</v>
      </c>
      <c r="B881">
        <f>YEAR(#REF!)</f>
        <v>2022</v>
      </c>
      <c r="C881" t="s">
        <v>514</v>
      </c>
      <c r="D881" s="1">
        <v>44648</v>
      </c>
      <c r="E881" t="s">
        <v>117</v>
      </c>
      <c r="F881" t="s">
        <v>55</v>
      </c>
      <c r="H881" t="s">
        <v>55</v>
      </c>
      <c r="I881" t="s">
        <v>89</v>
      </c>
      <c r="J881" t="s">
        <v>78</v>
      </c>
      <c r="K881" t="s">
        <v>55</v>
      </c>
      <c r="L881" t="s">
        <v>60</v>
      </c>
      <c r="M881" t="s">
        <v>91</v>
      </c>
      <c r="N881" t="s">
        <v>92</v>
      </c>
    </row>
    <row r="882" spans="1:14" x14ac:dyDescent="0.2">
      <c r="A882">
        <v>1304051</v>
      </c>
      <c r="B882">
        <f>YEAR(#REF!)</f>
        <v>2022</v>
      </c>
      <c r="C882" t="s">
        <v>514</v>
      </c>
      <c r="D882" s="1">
        <v>44649</v>
      </c>
      <c r="E882" t="s">
        <v>14</v>
      </c>
      <c r="F882" t="s">
        <v>39</v>
      </c>
      <c r="H882" t="s">
        <v>39</v>
      </c>
      <c r="I882" t="s">
        <v>89</v>
      </c>
      <c r="J882" t="s">
        <v>78</v>
      </c>
      <c r="K882" t="s">
        <v>14</v>
      </c>
      <c r="L882" t="s">
        <v>187</v>
      </c>
      <c r="M882" t="s">
        <v>340</v>
      </c>
      <c r="N882" t="s">
        <v>163</v>
      </c>
    </row>
    <row r="883" spans="1:14" x14ac:dyDescent="0.2">
      <c r="A883">
        <v>1304052</v>
      </c>
      <c r="B883">
        <f>YEAR(#REF!)</f>
        <v>2022</v>
      </c>
      <c r="C883" t="s">
        <v>514</v>
      </c>
      <c r="D883" s="1">
        <v>44650</v>
      </c>
      <c r="E883" t="s">
        <v>29</v>
      </c>
      <c r="F883" t="s">
        <v>20</v>
      </c>
      <c r="H883" t="s">
        <v>20</v>
      </c>
      <c r="I883" t="s">
        <v>89</v>
      </c>
      <c r="J883" t="s">
        <v>78</v>
      </c>
      <c r="K883" t="s">
        <v>20</v>
      </c>
      <c r="L883" t="s">
        <v>379</v>
      </c>
      <c r="M883" t="s">
        <v>212</v>
      </c>
      <c r="N883" t="s">
        <v>92</v>
      </c>
    </row>
    <row r="884" spans="1:14" x14ac:dyDescent="0.2">
      <c r="A884">
        <v>1304053</v>
      </c>
      <c r="B884">
        <f>YEAR(#REF!)</f>
        <v>2022</v>
      </c>
      <c r="C884" t="s">
        <v>514</v>
      </c>
      <c r="D884" s="1">
        <v>44651</v>
      </c>
      <c r="E884" t="s">
        <v>15</v>
      </c>
      <c r="F884" t="s">
        <v>117</v>
      </c>
      <c r="H884" t="s">
        <v>117</v>
      </c>
      <c r="I884" t="s">
        <v>89</v>
      </c>
      <c r="J884" t="s">
        <v>78</v>
      </c>
      <c r="K884" t="s">
        <v>117</v>
      </c>
      <c r="L884" t="s">
        <v>473</v>
      </c>
      <c r="M884" t="s">
        <v>113</v>
      </c>
      <c r="N884" t="s">
        <v>92</v>
      </c>
    </row>
    <row r="885" spans="1:14" x14ac:dyDescent="0.2">
      <c r="A885">
        <v>1304054</v>
      </c>
      <c r="B885">
        <f>YEAR(#REF!)</f>
        <v>2022</v>
      </c>
      <c r="C885" t="s">
        <v>514</v>
      </c>
      <c r="D885" s="1">
        <v>44652</v>
      </c>
      <c r="E885" t="s">
        <v>62</v>
      </c>
      <c r="F885" t="s">
        <v>29</v>
      </c>
      <c r="H885" t="s">
        <v>29</v>
      </c>
      <c r="I885" t="s">
        <v>89</v>
      </c>
      <c r="J885" t="s">
        <v>78</v>
      </c>
      <c r="K885" t="s">
        <v>29</v>
      </c>
      <c r="L885" t="s">
        <v>240</v>
      </c>
      <c r="M885" t="s">
        <v>91</v>
      </c>
      <c r="N885" t="s">
        <v>92</v>
      </c>
    </row>
    <row r="886" spans="1:14" x14ac:dyDescent="0.2">
      <c r="A886">
        <v>1304055</v>
      </c>
      <c r="B886">
        <f>YEAR(#REF!)</f>
        <v>2022</v>
      </c>
      <c r="C886" t="s">
        <v>514</v>
      </c>
      <c r="D886" s="1">
        <v>44653</v>
      </c>
      <c r="E886" t="s">
        <v>14</v>
      </c>
      <c r="F886" t="s">
        <v>24</v>
      </c>
      <c r="H886" t="s">
        <v>24</v>
      </c>
      <c r="I886" t="s">
        <v>89</v>
      </c>
      <c r="J886" t="s">
        <v>78</v>
      </c>
      <c r="K886" t="s">
        <v>14</v>
      </c>
      <c r="L886" t="s">
        <v>247</v>
      </c>
      <c r="M886" t="s">
        <v>212</v>
      </c>
      <c r="N886" t="s">
        <v>92</v>
      </c>
    </row>
    <row r="887" spans="1:14" x14ac:dyDescent="0.2">
      <c r="A887">
        <v>1304056</v>
      </c>
      <c r="B887">
        <f>YEAR(#REF!)</f>
        <v>2022</v>
      </c>
      <c r="C887" t="s">
        <v>514</v>
      </c>
      <c r="D887" s="1">
        <v>44653</v>
      </c>
      <c r="E887" t="s">
        <v>55</v>
      </c>
      <c r="F887" t="s">
        <v>49</v>
      </c>
      <c r="H887" t="s">
        <v>49</v>
      </c>
      <c r="I887" t="s">
        <v>89</v>
      </c>
      <c r="J887" t="s">
        <v>78</v>
      </c>
      <c r="K887" t="s">
        <v>55</v>
      </c>
      <c r="L887" t="s">
        <v>254</v>
      </c>
      <c r="M887" t="s">
        <v>340</v>
      </c>
      <c r="N887" t="s">
        <v>163</v>
      </c>
    </row>
    <row r="888" spans="1:14" x14ac:dyDescent="0.2">
      <c r="A888">
        <v>1304057</v>
      </c>
      <c r="B888">
        <f>YEAR(#REF!)</f>
        <v>2022</v>
      </c>
      <c r="C888" t="s">
        <v>514</v>
      </c>
      <c r="D888" s="1">
        <v>44654</v>
      </c>
      <c r="E888" t="s">
        <v>62</v>
      </c>
      <c r="F888" t="s">
        <v>15</v>
      </c>
      <c r="H888" t="s">
        <v>15</v>
      </c>
      <c r="I888" t="s">
        <v>89</v>
      </c>
      <c r="J888" t="s">
        <v>78</v>
      </c>
      <c r="K888" t="s">
        <v>62</v>
      </c>
      <c r="L888" t="s">
        <v>460</v>
      </c>
      <c r="M888" t="s">
        <v>113</v>
      </c>
      <c r="N888" t="s">
        <v>92</v>
      </c>
    </row>
    <row r="889" spans="1:14" x14ac:dyDescent="0.2">
      <c r="A889">
        <v>1304058</v>
      </c>
      <c r="B889">
        <f>YEAR(#REF!)</f>
        <v>2022</v>
      </c>
      <c r="C889" t="s">
        <v>514</v>
      </c>
      <c r="D889" s="1">
        <v>44655</v>
      </c>
      <c r="E889" t="s">
        <v>117</v>
      </c>
      <c r="F889" t="s">
        <v>39</v>
      </c>
      <c r="H889" t="s">
        <v>39</v>
      </c>
      <c r="I889" t="s">
        <v>89</v>
      </c>
      <c r="J889" t="s">
        <v>78</v>
      </c>
      <c r="K889" t="s">
        <v>117</v>
      </c>
      <c r="L889" t="s">
        <v>191</v>
      </c>
      <c r="M889" t="s">
        <v>212</v>
      </c>
      <c r="N889" t="s">
        <v>92</v>
      </c>
    </row>
    <row r="890" spans="1:14" x14ac:dyDescent="0.2">
      <c r="A890">
        <v>1304059</v>
      </c>
      <c r="B890">
        <f>YEAR(#REF!)</f>
        <v>2022</v>
      </c>
      <c r="C890" t="s">
        <v>514</v>
      </c>
      <c r="D890" s="1">
        <v>44656</v>
      </c>
      <c r="E890" t="s">
        <v>14</v>
      </c>
      <c r="F890" t="s">
        <v>20</v>
      </c>
      <c r="H890" t="s">
        <v>20</v>
      </c>
      <c r="I890" t="s">
        <v>89</v>
      </c>
      <c r="J890" t="s">
        <v>78</v>
      </c>
      <c r="K890" t="s">
        <v>20</v>
      </c>
      <c r="L890" t="s">
        <v>102</v>
      </c>
      <c r="M890" t="s">
        <v>91</v>
      </c>
      <c r="N890" t="s">
        <v>92</v>
      </c>
    </row>
    <row r="891" spans="1:14" x14ac:dyDescent="0.2">
      <c r="A891">
        <v>1304060</v>
      </c>
      <c r="B891">
        <f>YEAR(#REF!)</f>
        <v>2022</v>
      </c>
      <c r="C891" t="s">
        <v>514</v>
      </c>
      <c r="D891" s="1">
        <v>44657</v>
      </c>
      <c r="E891" t="s">
        <v>24</v>
      </c>
      <c r="F891" t="s">
        <v>29</v>
      </c>
      <c r="H891" t="s">
        <v>29</v>
      </c>
      <c r="I891" t="s">
        <v>89</v>
      </c>
      <c r="J891" t="s">
        <v>78</v>
      </c>
      <c r="K891" t="s">
        <v>29</v>
      </c>
      <c r="L891" t="s">
        <v>465</v>
      </c>
      <c r="M891" t="s">
        <v>340</v>
      </c>
      <c r="N891" t="s">
        <v>163</v>
      </c>
    </row>
    <row r="892" spans="1:14" x14ac:dyDescent="0.2">
      <c r="A892">
        <v>1304061</v>
      </c>
      <c r="B892">
        <f>YEAR(#REF!)</f>
        <v>2022</v>
      </c>
      <c r="C892" t="s">
        <v>514</v>
      </c>
      <c r="D892" s="1">
        <v>44658</v>
      </c>
      <c r="E892" t="s">
        <v>49</v>
      </c>
      <c r="F892" t="s">
        <v>117</v>
      </c>
      <c r="H892" t="s">
        <v>117</v>
      </c>
      <c r="I892" t="s">
        <v>89</v>
      </c>
      <c r="J892" t="s">
        <v>78</v>
      </c>
      <c r="K892" t="s">
        <v>117</v>
      </c>
      <c r="L892" t="s">
        <v>315</v>
      </c>
      <c r="M892" t="s">
        <v>212</v>
      </c>
      <c r="N892" t="s">
        <v>92</v>
      </c>
    </row>
    <row r="893" spans="1:14" x14ac:dyDescent="0.2">
      <c r="A893">
        <v>1304062</v>
      </c>
      <c r="B893">
        <f>YEAR(#REF!)</f>
        <v>2022</v>
      </c>
      <c r="C893" t="s">
        <v>514</v>
      </c>
      <c r="D893" s="1">
        <v>44659</v>
      </c>
      <c r="E893" t="s">
        <v>62</v>
      </c>
      <c r="F893" t="s">
        <v>55</v>
      </c>
      <c r="H893" t="s">
        <v>55</v>
      </c>
      <c r="I893" t="s">
        <v>89</v>
      </c>
      <c r="J893" t="s">
        <v>78</v>
      </c>
      <c r="K893" t="s">
        <v>55</v>
      </c>
      <c r="L893" t="s">
        <v>59</v>
      </c>
      <c r="M893" t="s">
        <v>113</v>
      </c>
      <c r="N893" t="s">
        <v>92</v>
      </c>
    </row>
    <row r="894" spans="1:14" x14ac:dyDescent="0.2">
      <c r="A894">
        <v>1304063</v>
      </c>
      <c r="B894">
        <f>YEAR(#REF!)</f>
        <v>2022</v>
      </c>
      <c r="C894" t="s">
        <v>514</v>
      </c>
      <c r="D894" s="1">
        <v>44660</v>
      </c>
      <c r="E894" t="s">
        <v>15</v>
      </c>
      <c r="F894" t="s">
        <v>39</v>
      </c>
      <c r="H894" t="s">
        <v>39</v>
      </c>
      <c r="I894" t="s">
        <v>89</v>
      </c>
      <c r="J894" t="s">
        <v>78</v>
      </c>
      <c r="K894" t="s">
        <v>39</v>
      </c>
      <c r="L894" t="s">
        <v>234</v>
      </c>
      <c r="M894" t="s">
        <v>212</v>
      </c>
      <c r="N894" t="s">
        <v>92</v>
      </c>
    </row>
    <row r="895" spans="1:14" x14ac:dyDescent="0.2">
      <c r="A895">
        <v>1304064</v>
      </c>
      <c r="B895">
        <f>YEAR(#REF!)</f>
        <v>2022</v>
      </c>
      <c r="C895" t="s">
        <v>514</v>
      </c>
      <c r="D895" s="1">
        <v>44660</v>
      </c>
      <c r="E895" t="s">
        <v>24</v>
      </c>
      <c r="F895" t="s">
        <v>20</v>
      </c>
      <c r="H895" t="s">
        <v>20</v>
      </c>
      <c r="I895" t="s">
        <v>89</v>
      </c>
      <c r="J895" t="s">
        <v>78</v>
      </c>
      <c r="K895" t="s">
        <v>20</v>
      </c>
      <c r="L895" t="s">
        <v>446</v>
      </c>
      <c r="M895" t="s">
        <v>340</v>
      </c>
      <c r="N895" t="s">
        <v>163</v>
      </c>
    </row>
    <row r="896" spans="1:14" x14ac:dyDescent="0.2">
      <c r="A896">
        <v>1304065</v>
      </c>
      <c r="B896">
        <f>YEAR(#REF!)</f>
        <v>2022</v>
      </c>
      <c r="C896" t="s">
        <v>514</v>
      </c>
      <c r="D896" s="1">
        <v>44661</v>
      </c>
      <c r="E896" t="s">
        <v>49</v>
      </c>
      <c r="F896" t="s">
        <v>29</v>
      </c>
      <c r="H896" t="s">
        <v>29</v>
      </c>
      <c r="I896" t="s">
        <v>89</v>
      </c>
      <c r="J896" t="s">
        <v>78</v>
      </c>
      <c r="K896" t="s">
        <v>49</v>
      </c>
      <c r="L896" t="s">
        <v>218</v>
      </c>
      <c r="M896" t="s">
        <v>113</v>
      </c>
      <c r="N896" t="s">
        <v>92</v>
      </c>
    </row>
    <row r="897" spans="1:14" x14ac:dyDescent="0.2">
      <c r="A897">
        <v>1304066</v>
      </c>
      <c r="B897">
        <f>YEAR(#REF!)</f>
        <v>2022</v>
      </c>
      <c r="C897" t="s">
        <v>514</v>
      </c>
      <c r="D897" s="1">
        <v>44661</v>
      </c>
      <c r="E897" t="s">
        <v>14</v>
      </c>
      <c r="F897" t="s">
        <v>117</v>
      </c>
      <c r="H897" t="s">
        <v>117</v>
      </c>
      <c r="I897" t="s">
        <v>89</v>
      </c>
      <c r="J897" t="s">
        <v>78</v>
      </c>
      <c r="K897" t="s">
        <v>14</v>
      </c>
      <c r="L897" t="s">
        <v>333</v>
      </c>
      <c r="M897" t="s">
        <v>91</v>
      </c>
      <c r="N897" t="s">
        <v>92</v>
      </c>
    </row>
    <row r="898" spans="1:14" x14ac:dyDescent="0.2">
      <c r="A898">
        <v>1304067</v>
      </c>
      <c r="B898">
        <f>YEAR(#REF!)</f>
        <v>2022</v>
      </c>
      <c r="C898" t="s">
        <v>514</v>
      </c>
      <c r="D898" s="1">
        <v>44662</v>
      </c>
      <c r="E898" t="s">
        <v>55</v>
      </c>
      <c r="F898" t="s">
        <v>39</v>
      </c>
      <c r="H898" t="s">
        <v>39</v>
      </c>
      <c r="I898" t="s">
        <v>89</v>
      </c>
      <c r="J898" t="s">
        <v>78</v>
      </c>
      <c r="K898" t="s">
        <v>39</v>
      </c>
      <c r="L898" t="s">
        <v>143</v>
      </c>
      <c r="M898" t="s">
        <v>212</v>
      </c>
      <c r="N898" t="s">
        <v>92</v>
      </c>
    </row>
    <row r="899" spans="1:14" x14ac:dyDescent="0.2">
      <c r="A899">
        <v>1304068</v>
      </c>
      <c r="B899">
        <f>YEAR(#REF!)</f>
        <v>2022</v>
      </c>
      <c r="C899" t="s">
        <v>514</v>
      </c>
      <c r="D899" s="1">
        <v>44663</v>
      </c>
      <c r="E899" t="s">
        <v>15</v>
      </c>
      <c r="F899" t="s">
        <v>20</v>
      </c>
      <c r="H899" t="s">
        <v>20</v>
      </c>
      <c r="I899" t="s">
        <v>89</v>
      </c>
      <c r="J899" t="s">
        <v>78</v>
      </c>
      <c r="K899" t="s">
        <v>15</v>
      </c>
      <c r="L899" t="s">
        <v>353</v>
      </c>
      <c r="M899" t="s">
        <v>212</v>
      </c>
      <c r="N899" t="s">
        <v>92</v>
      </c>
    </row>
    <row r="900" spans="1:14" x14ac:dyDescent="0.2">
      <c r="A900">
        <v>1304069</v>
      </c>
      <c r="B900">
        <f>YEAR(#REF!)</f>
        <v>2022</v>
      </c>
      <c r="C900" t="s">
        <v>514</v>
      </c>
      <c r="D900" s="1">
        <v>44664</v>
      </c>
      <c r="E900" t="s">
        <v>62</v>
      </c>
      <c r="F900" t="s">
        <v>24</v>
      </c>
      <c r="H900" t="s">
        <v>24</v>
      </c>
      <c r="I900" t="s">
        <v>89</v>
      </c>
      <c r="J900" t="s">
        <v>78</v>
      </c>
      <c r="K900" t="s">
        <v>62</v>
      </c>
      <c r="L900" t="s">
        <v>230</v>
      </c>
      <c r="M900" t="s">
        <v>340</v>
      </c>
      <c r="N900" t="s">
        <v>163</v>
      </c>
    </row>
    <row r="901" spans="1:14" x14ac:dyDescent="0.2">
      <c r="A901">
        <v>1304070</v>
      </c>
      <c r="B901">
        <f>YEAR(#REF!)</f>
        <v>2022</v>
      </c>
      <c r="C901" t="s">
        <v>514</v>
      </c>
      <c r="D901" s="1">
        <v>44665</v>
      </c>
      <c r="E901" t="s">
        <v>55</v>
      </c>
      <c r="F901" t="s">
        <v>14</v>
      </c>
      <c r="H901" t="s">
        <v>14</v>
      </c>
      <c r="I901" t="s">
        <v>89</v>
      </c>
      <c r="J901" t="s">
        <v>78</v>
      </c>
      <c r="K901" t="s">
        <v>55</v>
      </c>
      <c r="L901" t="s">
        <v>364</v>
      </c>
      <c r="M901" t="s">
        <v>212</v>
      </c>
      <c r="N901" t="s">
        <v>92</v>
      </c>
    </row>
    <row r="902" spans="1:14" x14ac:dyDescent="0.2">
      <c r="A902">
        <v>1304071</v>
      </c>
      <c r="B902">
        <f>YEAR(#REF!)</f>
        <v>2022</v>
      </c>
      <c r="C902" t="s">
        <v>514</v>
      </c>
      <c r="D902" s="1">
        <v>44666</v>
      </c>
      <c r="E902" t="s">
        <v>29</v>
      </c>
      <c r="F902" t="s">
        <v>39</v>
      </c>
      <c r="H902" t="s">
        <v>39</v>
      </c>
      <c r="I902" t="s">
        <v>89</v>
      </c>
      <c r="J902" t="s">
        <v>78</v>
      </c>
      <c r="K902" t="s">
        <v>39</v>
      </c>
      <c r="L902" t="s">
        <v>375</v>
      </c>
      <c r="M902" t="s">
        <v>113</v>
      </c>
      <c r="N902" t="s">
        <v>92</v>
      </c>
    </row>
    <row r="903" spans="1:14" x14ac:dyDescent="0.2">
      <c r="A903">
        <v>1304073</v>
      </c>
      <c r="B903">
        <f>YEAR(#REF!)</f>
        <v>2022</v>
      </c>
      <c r="C903" t="s">
        <v>514</v>
      </c>
      <c r="D903" s="1">
        <v>44667</v>
      </c>
      <c r="E903" t="s">
        <v>20</v>
      </c>
      <c r="F903" t="s">
        <v>49</v>
      </c>
      <c r="H903" t="s">
        <v>49</v>
      </c>
      <c r="I903" t="s">
        <v>89</v>
      </c>
      <c r="J903" t="s">
        <v>78</v>
      </c>
      <c r="K903" t="s">
        <v>20</v>
      </c>
      <c r="L903" t="s">
        <v>102</v>
      </c>
      <c r="M903" t="s">
        <v>91</v>
      </c>
      <c r="N903" t="s">
        <v>92</v>
      </c>
    </row>
    <row r="904" spans="1:14" x14ac:dyDescent="0.2">
      <c r="A904">
        <v>1304072</v>
      </c>
      <c r="B904">
        <f>YEAR(#REF!)</f>
        <v>2022</v>
      </c>
      <c r="C904" t="s">
        <v>514</v>
      </c>
      <c r="D904" s="1">
        <v>44667</v>
      </c>
      <c r="E904" t="s">
        <v>117</v>
      </c>
      <c r="F904" t="s">
        <v>24</v>
      </c>
      <c r="H904" t="s">
        <v>24</v>
      </c>
      <c r="I904" t="s">
        <v>89</v>
      </c>
      <c r="J904" t="s">
        <v>78</v>
      </c>
      <c r="K904" t="s">
        <v>117</v>
      </c>
      <c r="L904" t="s">
        <v>50</v>
      </c>
      <c r="M904" t="s">
        <v>113</v>
      </c>
      <c r="N904" t="s">
        <v>92</v>
      </c>
    </row>
    <row r="905" spans="1:14" x14ac:dyDescent="0.2">
      <c r="A905">
        <v>1304075</v>
      </c>
      <c r="B905">
        <f>YEAR(#REF!)</f>
        <v>2022</v>
      </c>
      <c r="C905" t="s">
        <v>514</v>
      </c>
      <c r="D905" s="1">
        <v>44668</v>
      </c>
      <c r="E905" t="s">
        <v>15</v>
      </c>
      <c r="F905" t="s">
        <v>55</v>
      </c>
      <c r="H905" t="s">
        <v>55</v>
      </c>
      <c r="I905" t="s">
        <v>89</v>
      </c>
      <c r="J905" t="s">
        <v>78</v>
      </c>
      <c r="K905" t="s">
        <v>55</v>
      </c>
      <c r="L905" t="s">
        <v>328</v>
      </c>
      <c r="M905" t="s">
        <v>340</v>
      </c>
      <c r="N905" t="s">
        <v>163</v>
      </c>
    </row>
    <row r="906" spans="1:14" x14ac:dyDescent="0.2">
      <c r="A906">
        <v>1304074</v>
      </c>
      <c r="B906">
        <f>YEAR(#REF!)</f>
        <v>2022</v>
      </c>
      <c r="C906" t="s">
        <v>514</v>
      </c>
      <c r="D906" s="1">
        <v>44668</v>
      </c>
      <c r="E906" t="s">
        <v>62</v>
      </c>
      <c r="F906" t="s">
        <v>39</v>
      </c>
      <c r="H906" t="s">
        <v>39</v>
      </c>
      <c r="I906" t="s">
        <v>89</v>
      </c>
      <c r="J906" t="s">
        <v>78</v>
      </c>
      <c r="K906" t="s">
        <v>39</v>
      </c>
      <c r="L906" t="s">
        <v>350</v>
      </c>
      <c r="M906" t="s">
        <v>212</v>
      </c>
      <c r="N906" t="s">
        <v>92</v>
      </c>
    </row>
    <row r="907" spans="1:14" x14ac:dyDescent="0.2">
      <c r="A907">
        <v>1304076</v>
      </c>
      <c r="B907">
        <f>YEAR(#REF!)</f>
        <v>2022</v>
      </c>
      <c r="C907" t="s">
        <v>514</v>
      </c>
      <c r="D907" s="1">
        <v>44669</v>
      </c>
      <c r="E907" t="s">
        <v>14</v>
      </c>
      <c r="F907" t="s">
        <v>29</v>
      </c>
      <c r="H907" t="s">
        <v>29</v>
      </c>
      <c r="I907" t="s">
        <v>89</v>
      </c>
      <c r="J907" t="s">
        <v>78</v>
      </c>
      <c r="K907" t="s">
        <v>14</v>
      </c>
      <c r="L907" t="s">
        <v>333</v>
      </c>
      <c r="M907" t="s">
        <v>113</v>
      </c>
      <c r="N907" t="s">
        <v>92</v>
      </c>
    </row>
    <row r="908" spans="1:14" x14ac:dyDescent="0.2">
      <c r="A908">
        <v>1304077</v>
      </c>
      <c r="B908">
        <f>YEAR(#REF!)</f>
        <v>2022</v>
      </c>
      <c r="C908" t="s">
        <v>514</v>
      </c>
      <c r="D908" s="1">
        <v>44670</v>
      </c>
      <c r="E908" t="s">
        <v>20</v>
      </c>
      <c r="F908" t="s">
        <v>117</v>
      </c>
      <c r="H908" t="s">
        <v>117</v>
      </c>
      <c r="I908" t="s">
        <v>89</v>
      </c>
      <c r="J908" t="s">
        <v>78</v>
      </c>
      <c r="K908" t="s">
        <v>20</v>
      </c>
      <c r="L908" t="s">
        <v>189</v>
      </c>
      <c r="M908" t="s">
        <v>212</v>
      </c>
      <c r="N908" t="s">
        <v>92</v>
      </c>
    </row>
    <row r="909" spans="1:14" x14ac:dyDescent="0.2">
      <c r="A909">
        <v>1304078</v>
      </c>
      <c r="B909">
        <f>YEAR(#REF!)</f>
        <v>2022</v>
      </c>
      <c r="C909" t="s">
        <v>514</v>
      </c>
      <c r="D909" s="1">
        <v>44671</v>
      </c>
      <c r="E909" t="s">
        <v>62</v>
      </c>
      <c r="F909" t="s">
        <v>49</v>
      </c>
      <c r="H909" t="s">
        <v>49</v>
      </c>
      <c r="I909" t="s">
        <v>89</v>
      </c>
      <c r="J909" t="s">
        <v>78</v>
      </c>
      <c r="K909" t="s">
        <v>49</v>
      </c>
      <c r="L909" t="s">
        <v>218</v>
      </c>
      <c r="M909" t="s">
        <v>113</v>
      </c>
      <c r="N909" t="s">
        <v>92</v>
      </c>
    </row>
    <row r="910" spans="1:14" x14ac:dyDescent="0.2">
      <c r="A910">
        <v>1304079</v>
      </c>
      <c r="B910">
        <f>YEAR(#REF!)</f>
        <v>2022</v>
      </c>
      <c r="C910" t="s">
        <v>514</v>
      </c>
      <c r="D910" s="1">
        <v>44672</v>
      </c>
      <c r="E910" t="s">
        <v>24</v>
      </c>
      <c r="F910" t="s">
        <v>15</v>
      </c>
      <c r="H910" t="s">
        <v>15</v>
      </c>
      <c r="I910" t="s">
        <v>89</v>
      </c>
      <c r="J910" t="s">
        <v>78</v>
      </c>
      <c r="K910" t="s">
        <v>15</v>
      </c>
      <c r="L910" t="s">
        <v>270</v>
      </c>
      <c r="M910" t="s">
        <v>212</v>
      </c>
      <c r="N910" t="s">
        <v>271</v>
      </c>
    </row>
    <row r="911" spans="1:14" x14ac:dyDescent="0.2">
      <c r="A911">
        <v>1304080</v>
      </c>
      <c r="B911">
        <f>YEAR(#REF!)</f>
        <v>2022</v>
      </c>
      <c r="C911" t="s">
        <v>514</v>
      </c>
      <c r="D911" s="1">
        <v>44673</v>
      </c>
      <c r="E911" t="s">
        <v>14</v>
      </c>
      <c r="F911" t="s">
        <v>49</v>
      </c>
      <c r="H911" t="s">
        <v>49</v>
      </c>
      <c r="I911" t="s">
        <v>89</v>
      </c>
      <c r="J911" t="s">
        <v>78</v>
      </c>
      <c r="K911" t="s">
        <v>14</v>
      </c>
      <c r="L911" t="s">
        <v>247</v>
      </c>
      <c r="M911" t="s">
        <v>91</v>
      </c>
      <c r="N911" t="s">
        <v>92</v>
      </c>
    </row>
    <row r="912" spans="1:14" x14ac:dyDescent="0.2">
      <c r="A912">
        <v>1304081</v>
      </c>
      <c r="B912">
        <f>YEAR(#REF!)</f>
        <v>2022</v>
      </c>
      <c r="C912" t="s">
        <v>514</v>
      </c>
      <c r="D912" s="1">
        <v>44674</v>
      </c>
      <c r="E912" t="s">
        <v>55</v>
      </c>
      <c r="F912" t="s">
        <v>29</v>
      </c>
      <c r="H912" t="s">
        <v>55</v>
      </c>
      <c r="I912" t="s">
        <v>77</v>
      </c>
      <c r="J912" t="s">
        <v>78</v>
      </c>
      <c r="K912" t="s">
        <v>55</v>
      </c>
      <c r="L912" t="s">
        <v>296</v>
      </c>
      <c r="M912" t="s">
        <v>212</v>
      </c>
      <c r="N912" t="s">
        <v>271</v>
      </c>
    </row>
    <row r="913" spans="1:14" x14ac:dyDescent="0.2">
      <c r="A913">
        <v>1304082</v>
      </c>
      <c r="B913">
        <f>YEAR(#REF!)</f>
        <v>2022</v>
      </c>
      <c r="C913" t="s">
        <v>514</v>
      </c>
      <c r="D913" s="1">
        <v>44674</v>
      </c>
      <c r="E913" t="s">
        <v>20</v>
      </c>
      <c r="F913" t="s">
        <v>39</v>
      </c>
      <c r="H913" t="s">
        <v>39</v>
      </c>
      <c r="I913" t="s">
        <v>89</v>
      </c>
      <c r="J913" t="s">
        <v>78</v>
      </c>
      <c r="K913" t="s">
        <v>39</v>
      </c>
      <c r="L913" t="s">
        <v>478</v>
      </c>
      <c r="M913" t="s">
        <v>113</v>
      </c>
      <c r="N913" t="s">
        <v>92</v>
      </c>
    </row>
    <row r="914" spans="1:14" x14ac:dyDescent="0.2">
      <c r="A914">
        <v>1304083</v>
      </c>
      <c r="B914">
        <f>YEAR(#REF!)</f>
        <v>2022</v>
      </c>
      <c r="C914" t="s">
        <v>514</v>
      </c>
      <c r="D914" s="1">
        <v>44675</v>
      </c>
      <c r="E914" t="s">
        <v>117</v>
      </c>
      <c r="F914" t="s">
        <v>24</v>
      </c>
      <c r="H914" t="s">
        <v>24</v>
      </c>
      <c r="I914" t="s">
        <v>89</v>
      </c>
      <c r="J914" t="s">
        <v>78</v>
      </c>
      <c r="K914" t="s">
        <v>117</v>
      </c>
      <c r="L914" t="s">
        <v>50</v>
      </c>
      <c r="M914" t="s">
        <v>91</v>
      </c>
      <c r="N914" t="s">
        <v>92</v>
      </c>
    </row>
    <row r="915" spans="1:14" x14ac:dyDescent="0.2">
      <c r="A915">
        <v>1304084</v>
      </c>
      <c r="B915">
        <f>YEAR(#REF!)</f>
        <v>2022</v>
      </c>
      <c r="C915" t="s">
        <v>514</v>
      </c>
      <c r="D915" s="1">
        <v>44676</v>
      </c>
      <c r="E915" t="s">
        <v>62</v>
      </c>
      <c r="F915" t="s">
        <v>15</v>
      </c>
      <c r="H915" t="s">
        <v>15</v>
      </c>
      <c r="I915" t="s">
        <v>89</v>
      </c>
      <c r="J915" t="s">
        <v>78</v>
      </c>
      <c r="K915" t="s">
        <v>62</v>
      </c>
      <c r="L915" t="s">
        <v>90</v>
      </c>
      <c r="M915" t="s">
        <v>91</v>
      </c>
      <c r="N915" t="s">
        <v>92</v>
      </c>
    </row>
    <row r="916" spans="1:14" x14ac:dyDescent="0.2">
      <c r="A916">
        <v>1304085</v>
      </c>
      <c r="B916">
        <f>YEAR(#REF!)</f>
        <v>2022</v>
      </c>
      <c r="C916" t="s">
        <v>514</v>
      </c>
      <c r="D916" s="1">
        <v>44677</v>
      </c>
      <c r="E916" t="s">
        <v>14</v>
      </c>
      <c r="F916" t="s">
        <v>20</v>
      </c>
      <c r="H916" t="s">
        <v>20</v>
      </c>
      <c r="I916" t="s">
        <v>89</v>
      </c>
      <c r="J916" t="s">
        <v>78</v>
      </c>
      <c r="K916" t="s">
        <v>14</v>
      </c>
      <c r="L916" t="s">
        <v>485</v>
      </c>
      <c r="M916" t="s">
        <v>340</v>
      </c>
      <c r="N916" t="s">
        <v>163</v>
      </c>
    </row>
    <row r="917" spans="1:14" x14ac:dyDescent="0.2">
      <c r="A917">
        <v>1304086</v>
      </c>
      <c r="B917">
        <f>YEAR(#REF!)</f>
        <v>2022</v>
      </c>
      <c r="C917" t="s">
        <v>514</v>
      </c>
      <c r="D917" s="1">
        <v>44678</v>
      </c>
      <c r="E917" t="s">
        <v>39</v>
      </c>
      <c r="F917" t="s">
        <v>55</v>
      </c>
      <c r="H917" t="s">
        <v>55</v>
      </c>
      <c r="I917" t="s">
        <v>89</v>
      </c>
      <c r="J917" t="s">
        <v>78</v>
      </c>
      <c r="K917" t="s">
        <v>55</v>
      </c>
      <c r="L917" t="s">
        <v>350</v>
      </c>
      <c r="M917" t="s">
        <v>91</v>
      </c>
      <c r="N917" t="s">
        <v>92</v>
      </c>
    </row>
    <row r="918" spans="1:14" x14ac:dyDescent="0.2">
      <c r="A918">
        <v>1304087</v>
      </c>
      <c r="B918">
        <f>YEAR(#REF!)</f>
        <v>2022</v>
      </c>
      <c r="C918" t="s">
        <v>514</v>
      </c>
      <c r="D918" s="1">
        <v>44679</v>
      </c>
      <c r="E918" t="s">
        <v>29</v>
      </c>
      <c r="F918" t="s">
        <v>49</v>
      </c>
      <c r="H918" t="s">
        <v>49</v>
      </c>
      <c r="I918" t="s">
        <v>89</v>
      </c>
      <c r="J918" t="s">
        <v>78</v>
      </c>
      <c r="K918" t="s">
        <v>49</v>
      </c>
      <c r="L918" t="s">
        <v>218</v>
      </c>
      <c r="M918" t="s">
        <v>91</v>
      </c>
      <c r="N918" t="s">
        <v>92</v>
      </c>
    </row>
    <row r="919" spans="1:14" x14ac:dyDescent="0.2">
      <c r="A919">
        <v>1304088</v>
      </c>
      <c r="B919">
        <f>YEAR(#REF!)</f>
        <v>2022</v>
      </c>
      <c r="C919" t="s">
        <v>514</v>
      </c>
      <c r="D919" s="1">
        <v>44680</v>
      </c>
      <c r="E919" t="s">
        <v>117</v>
      </c>
      <c r="F919" t="s">
        <v>62</v>
      </c>
      <c r="H919" t="s">
        <v>62</v>
      </c>
      <c r="I919" t="s">
        <v>89</v>
      </c>
      <c r="J919" t="s">
        <v>78</v>
      </c>
      <c r="K919" t="s">
        <v>117</v>
      </c>
      <c r="L919" t="s">
        <v>148</v>
      </c>
      <c r="M919" t="s">
        <v>340</v>
      </c>
      <c r="N919" t="s">
        <v>163</v>
      </c>
    </row>
    <row r="920" spans="1:14" x14ac:dyDescent="0.2">
      <c r="A920">
        <v>1304090</v>
      </c>
      <c r="B920">
        <f>YEAR(#REF!)</f>
        <v>2022</v>
      </c>
      <c r="C920" t="s">
        <v>514</v>
      </c>
      <c r="D920" s="1">
        <v>44681</v>
      </c>
      <c r="E920" t="s">
        <v>14</v>
      </c>
      <c r="F920" t="s">
        <v>24</v>
      </c>
      <c r="H920" t="s">
        <v>24</v>
      </c>
      <c r="I920" t="s">
        <v>89</v>
      </c>
      <c r="J920" t="s">
        <v>78</v>
      </c>
      <c r="K920" t="s">
        <v>24</v>
      </c>
      <c r="L920" t="s">
        <v>287</v>
      </c>
      <c r="M920" t="s">
        <v>212</v>
      </c>
      <c r="N920" t="s">
        <v>271</v>
      </c>
    </row>
    <row r="921" spans="1:14" x14ac:dyDescent="0.2">
      <c r="A921">
        <v>1304089</v>
      </c>
      <c r="B921">
        <f>YEAR(#REF!)</f>
        <v>2022</v>
      </c>
      <c r="C921" t="s">
        <v>514</v>
      </c>
      <c r="D921" s="1">
        <v>44681</v>
      </c>
      <c r="E921" t="s">
        <v>20</v>
      </c>
      <c r="F921" t="s">
        <v>55</v>
      </c>
      <c r="H921" t="s">
        <v>20</v>
      </c>
      <c r="I921" t="s">
        <v>77</v>
      </c>
      <c r="J921" t="s">
        <v>78</v>
      </c>
      <c r="K921" t="s">
        <v>55</v>
      </c>
      <c r="L921" t="s">
        <v>278</v>
      </c>
      <c r="M921" t="s">
        <v>113</v>
      </c>
      <c r="N921" t="s">
        <v>92</v>
      </c>
    </row>
    <row r="922" spans="1:14" x14ac:dyDescent="0.2">
      <c r="A922">
        <v>1304091</v>
      </c>
      <c r="B922">
        <f>YEAR(#REF!)</f>
        <v>2022</v>
      </c>
      <c r="C922" t="s">
        <v>514</v>
      </c>
      <c r="D922" s="1">
        <v>44682</v>
      </c>
      <c r="E922" t="s">
        <v>117</v>
      </c>
      <c r="F922" t="s">
        <v>49</v>
      </c>
      <c r="H922" t="s">
        <v>117</v>
      </c>
      <c r="I922" t="s">
        <v>77</v>
      </c>
      <c r="J922" t="s">
        <v>78</v>
      </c>
      <c r="K922" t="s">
        <v>117</v>
      </c>
      <c r="L922" t="s">
        <v>420</v>
      </c>
      <c r="M922" t="s">
        <v>91</v>
      </c>
      <c r="N922" t="s">
        <v>92</v>
      </c>
    </row>
    <row r="923" spans="1:14" x14ac:dyDescent="0.2">
      <c r="A923">
        <v>1304092</v>
      </c>
      <c r="B923">
        <f>YEAR(#REF!)</f>
        <v>2022</v>
      </c>
      <c r="C923" t="s">
        <v>514</v>
      </c>
      <c r="D923" s="1">
        <v>44682</v>
      </c>
      <c r="E923" t="s">
        <v>15</v>
      </c>
      <c r="F923" t="s">
        <v>39</v>
      </c>
      <c r="H923" t="s">
        <v>39</v>
      </c>
      <c r="I923" t="s">
        <v>89</v>
      </c>
      <c r="J923" t="s">
        <v>78</v>
      </c>
      <c r="K923" t="s">
        <v>15</v>
      </c>
      <c r="L923" t="s">
        <v>178</v>
      </c>
      <c r="M923" t="s">
        <v>340</v>
      </c>
      <c r="N923" t="s">
        <v>163</v>
      </c>
    </row>
    <row r="924" spans="1:14" x14ac:dyDescent="0.2">
      <c r="A924">
        <v>1304093</v>
      </c>
      <c r="B924">
        <f>YEAR(#REF!)</f>
        <v>2022</v>
      </c>
      <c r="C924" t="s">
        <v>514</v>
      </c>
      <c r="D924" s="1">
        <v>44683</v>
      </c>
      <c r="E924" t="s">
        <v>14</v>
      </c>
      <c r="F924" t="s">
        <v>29</v>
      </c>
      <c r="H924" t="s">
        <v>29</v>
      </c>
      <c r="I924" t="s">
        <v>89</v>
      </c>
      <c r="J924" t="s">
        <v>78</v>
      </c>
      <c r="K924" t="s">
        <v>29</v>
      </c>
      <c r="L924" t="s">
        <v>318</v>
      </c>
      <c r="M924" t="s">
        <v>91</v>
      </c>
      <c r="N924" t="s">
        <v>92</v>
      </c>
    </row>
    <row r="925" spans="1:14" x14ac:dyDescent="0.2">
      <c r="A925">
        <v>1304094</v>
      </c>
      <c r="B925">
        <f>YEAR(#REF!)</f>
        <v>2022</v>
      </c>
      <c r="C925" t="s">
        <v>514</v>
      </c>
      <c r="D925" s="1">
        <v>44684</v>
      </c>
      <c r="E925" t="s">
        <v>55</v>
      </c>
      <c r="F925" t="s">
        <v>62</v>
      </c>
      <c r="H925" t="s">
        <v>55</v>
      </c>
      <c r="I925" t="s">
        <v>77</v>
      </c>
      <c r="J925" t="s">
        <v>78</v>
      </c>
      <c r="K925" t="s">
        <v>62</v>
      </c>
      <c r="L925" t="s">
        <v>429</v>
      </c>
      <c r="M925" t="s">
        <v>212</v>
      </c>
      <c r="N925" t="s">
        <v>271</v>
      </c>
    </row>
    <row r="926" spans="1:14" x14ac:dyDescent="0.2">
      <c r="A926">
        <v>1304095</v>
      </c>
      <c r="B926">
        <f>YEAR(#REF!)</f>
        <v>2022</v>
      </c>
      <c r="C926" t="s">
        <v>514</v>
      </c>
      <c r="D926" s="1">
        <v>44685</v>
      </c>
      <c r="E926" t="s">
        <v>20</v>
      </c>
      <c r="F926" t="s">
        <v>15</v>
      </c>
      <c r="H926" t="s">
        <v>15</v>
      </c>
      <c r="I926" t="s">
        <v>89</v>
      </c>
      <c r="J926" t="s">
        <v>78</v>
      </c>
      <c r="K926" t="s">
        <v>20</v>
      </c>
      <c r="L926" t="s">
        <v>339</v>
      </c>
      <c r="M926" t="s">
        <v>340</v>
      </c>
      <c r="N926" t="s">
        <v>163</v>
      </c>
    </row>
    <row r="927" spans="1:14" x14ac:dyDescent="0.2">
      <c r="A927">
        <v>1304096</v>
      </c>
      <c r="B927">
        <f>YEAR(#REF!)</f>
        <v>2022</v>
      </c>
      <c r="C927" t="s">
        <v>514</v>
      </c>
      <c r="D927" s="1">
        <v>44686</v>
      </c>
      <c r="E927" t="s">
        <v>49</v>
      </c>
      <c r="F927" t="s">
        <v>39</v>
      </c>
      <c r="H927" t="s">
        <v>39</v>
      </c>
      <c r="I927" t="s">
        <v>89</v>
      </c>
      <c r="J927" t="s">
        <v>78</v>
      </c>
      <c r="K927" t="s">
        <v>49</v>
      </c>
      <c r="L927" t="s">
        <v>80</v>
      </c>
      <c r="M927" t="s">
        <v>113</v>
      </c>
      <c r="N927" t="s">
        <v>92</v>
      </c>
    </row>
    <row r="928" spans="1:14" x14ac:dyDescent="0.2">
      <c r="A928">
        <v>1304097</v>
      </c>
      <c r="B928">
        <f>YEAR(#REF!)</f>
        <v>2022</v>
      </c>
      <c r="C928" t="s">
        <v>514</v>
      </c>
      <c r="D928" s="1">
        <v>44687</v>
      </c>
      <c r="E928" t="s">
        <v>24</v>
      </c>
      <c r="F928" t="s">
        <v>55</v>
      </c>
      <c r="H928" t="s">
        <v>55</v>
      </c>
      <c r="I928" t="s">
        <v>89</v>
      </c>
      <c r="J928" t="s">
        <v>78</v>
      </c>
      <c r="K928" t="s">
        <v>24</v>
      </c>
      <c r="L928" t="s">
        <v>276</v>
      </c>
      <c r="M928" t="s">
        <v>113</v>
      </c>
      <c r="N928" t="s">
        <v>92</v>
      </c>
    </row>
    <row r="929" spans="1:14" x14ac:dyDescent="0.2">
      <c r="A929">
        <v>1304098</v>
      </c>
      <c r="B929">
        <f>YEAR(#REF!)</f>
        <v>2022</v>
      </c>
      <c r="C929" t="s">
        <v>514</v>
      </c>
      <c r="D929" s="1">
        <v>44688</v>
      </c>
      <c r="E929" t="s">
        <v>62</v>
      </c>
      <c r="F929" t="s">
        <v>14</v>
      </c>
      <c r="H929" t="s">
        <v>62</v>
      </c>
      <c r="I929" t="s">
        <v>77</v>
      </c>
      <c r="J929" t="s">
        <v>78</v>
      </c>
      <c r="K929" t="s">
        <v>14</v>
      </c>
      <c r="L929" t="s">
        <v>284</v>
      </c>
      <c r="M929" t="s">
        <v>91</v>
      </c>
      <c r="N929" t="s">
        <v>92</v>
      </c>
    </row>
    <row r="930" spans="1:14" x14ac:dyDescent="0.2">
      <c r="A930">
        <v>1304099</v>
      </c>
      <c r="B930">
        <f>YEAR(#REF!)</f>
        <v>2022</v>
      </c>
      <c r="C930" t="s">
        <v>514</v>
      </c>
      <c r="D930" s="1">
        <v>44688</v>
      </c>
      <c r="E930" t="s">
        <v>117</v>
      </c>
      <c r="F930" t="s">
        <v>29</v>
      </c>
      <c r="H930" t="s">
        <v>29</v>
      </c>
      <c r="I930" t="s">
        <v>89</v>
      </c>
      <c r="J930" t="s">
        <v>78</v>
      </c>
      <c r="K930" t="s">
        <v>117</v>
      </c>
      <c r="L930" t="s">
        <v>191</v>
      </c>
      <c r="M930" t="s">
        <v>340</v>
      </c>
      <c r="N930" t="s">
        <v>163</v>
      </c>
    </row>
    <row r="931" spans="1:14" x14ac:dyDescent="0.2">
      <c r="A931">
        <v>1304100</v>
      </c>
      <c r="B931">
        <f>YEAR(#REF!)</f>
        <v>2022</v>
      </c>
      <c r="C931" t="s">
        <v>514</v>
      </c>
      <c r="D931" s="1">
        <v>44689</v>
      </c>
      <c r="E931" t="s">
        <v>20</v>
      </c>
      <c r="F931" t="s">
        <v>39</v>
      </c>
      <c r="H931" t="s">
        <v>20</v>
      </c>
      <c r="I931" t="s">
        <v>77</v>
      </c>
      <c r="J931" t="s">
        <v>78</v>
      </c>
      <c r="K931" t="s">
        <v>20</v>
      </c>
      <c r="L931" t="s">
        <v>379</v>
      </c>
      <c r="M931" t="s">
        <v>91</v>
      </c>
      <c r="N931" t="s">
        <v>92</v>
      </c>
    </row>
    <row r="932" spans="1:14" x14ac:dyDescent="0.2">
      <c r="A932">
        <v>1304101</v>
      </c>
      <c r="B932">
        <f>YEAR(#REF!)</f>
        <v>2022</v>
      </c>
      <c r="C932" t="s">
        <v>514</v>
      </c>
      <c r="D932" s="1">
        <v>44689</v>
      </c>
      <c r="E932" t="s">
        <v>15</v>
      </c>
      <c r="F932" t="s">
        <v>49</v>
      </c>
      <c r="H932" t="s">
        <v>49</v>
      </c>
      <c r="I932" t="s">
        <v>89</v>
      </c>
      <c r="J932" t="s">
        <v>78</v>
      </c>
      <c r="K932" t="s">
        <v>15</v>
      </c>
      <c r="L932" t="s">
        <v>355</v>
      </c>
      <c r="M932" t="s">
        <v>212</v>
      </c>
      <c r="N932" t="s">
        <v>271</v>
      </c>
    </row>
    <row r="933" spans="1:14" x14ac:dyDescent="0.2">
      <c r="A933">
        <v>1304102</v>
      </c>
      <c r="B933">
        <f>YEAR(#REF!)</f>
        <v>2022</v>
      </c>
      <c r="C933" t="s">
        <v>514</v>
      </c>
      <c r="D933" s="1">
        <v>44690</v>
      </c>
      <c r="E933" t="s">
        <v>29</v>
      </c>
      <c r="F933" t="s">
        <v>24</v>
      </c>
      <c r="H933" t="s">
        <v>24</v>
      </c>
      <c r="I933" t="s">
        <v>89</v>
      </c>
      <c r="J933" t="s">
        <v>78</v>
      </c>
      <c r="K933" t="s">
        <v>29</v>
      </c>
      <c r="L933" t="s">
        <v>108</v>
      </c>
      <c r="M933" t="s">
        <v>212</v>
      </c>
      <c r="N933" t="s">
        <v>271</v>
      </c>
    </row>
    <row r="934" spans="1:14" x14ac:dyDescent="0.2">
      <c r="A934">
        <v>1304103</v>
      </c>
      <c r="B934">
        <f>YEAR(#REF!)</f>
        <v>2022</v>
      </c>
      <c r="C934" t="s">
        <v>514</v>
      </c>
      <c r="D934" s="1">
        <v>44691</v>
      </c>
      <c r="E934" t="s">
        <v>55</v>
      </c>
      <c r="F934" t="s">
        <v>117</v>
      </c>
      <c r="H934" t="s">
        <v>55</v>
      </c>
      <c r="I934" t="s">
        <v>77</v>
      </c>
      <c r="J934" t="s">
        <v>78</v>
      </c>
      <c r="K934" t="s">
        <v>55</v>
      </c>
      <c r="L934" t="s">
        <v>59</v>
      </c>
      <c r="M934" t="s">
        <v>340</v>
      </c>
      <c r="N934" t="s">
        <v>163</v>
      </c>
    </row>
    <row r="935" spans="1:14" x14ac:dyDescent="0.2">
      <c r="A935">
        <v>1304104</v>
      </c>
      <c r="B935">
        <f>YEAR(#REF!)</f>
        <v>2022</v>
      </c>
      <c r="C935" t="s">
        <v>514</v>
      </c>
      <c r="D935" s="1">
        <v>44692</v>
      </c>
      <c r="E935" t="s">
        <v>14</v>
      </c>
      <c r="F935" t="s">
        <v>49</v>
      </c>
      <c r="H935" t="s">
        <v>49</v>
      </c>
      <c r="I935" t="s">
        <v>89</v>
      </c>
      <c r="J935" t="s">
        <v>78</v>
      </c>
      <c r="K935" t="s">
        <v>49</v>
      </c>
      <c r="L935" t="s">
        <v>346</v>
      </c>
      <c r="M935" t="s">
        <v>212</v>
      </c>
      <c r="N935" t="s">
        <v>271</v>
      </c>
    </row>
    <row r="936" spans="1:14" x14ac:dyDescent="0.2">
      <c r="A936">
        <v>1304105</v>
      </c>
      <c r="B936">
        <f>YEAR(#REF!)</f>
        <v>2022</v>
      </c>
      <c r="C936" t="s">
        <v>514</v>
      </c>
      <c r="D936" s="1">
        <v>44693</v>
      </c>
      <c r="E936" t="s">
        <v>15</v>
      </c>
      <c r="F936" t="s">
        <v>24</v>
      </c>
      <c r="H936" t="s">
        <v>24</v>
      </c>
      <c r="I936" t="s">
        <v>89</v>
      </c>
      <c r="J936" t="s">
        <v>78</v>
      </c>
      <c r="K936" t="s">
        <v>24</v>
      </c>
      <c r="L936" t="s">
        <v>132</v>
      </c>
      <c r="M936" t="s">
        <v>91</v>
      </c>
      <c r="N936" t="s">
        <v>92</v>
      </c>
    </row>
    <row r="937" spans="1:14" x14ac:dyDescent="0.2">
      <c r="A937">
        <v>1304106</v>
      </c>
      <c r="B937">
        <f>YEAR(#REF!)</f>
        <v>2022</v>
      </c>
      <c r="C937" t="s">
        <v>514</v>
      </c>
      <c r="D937" s="1">
        <v>44694</v>
      </c>
      <c r="E937" t="s">
        <v>62</v>
      </c>
      <c r="F937" t="s">
        <v>20</v>
      </c>
      <c r="H937" t="s">
        <v>20</v>
      </c>
      <c r="I937" t="s">
        <v>89</v>
      </c>
      <c r="J937" t="s">
        <v>78</v>
      </c>
      <c r="K937" t="s">
        <v>62</v>
      </c>
      <c r="L937" t="s">
        <v>220</v>
      </c>
      <c r="M937" t="s">
        <v>113</v>
      </c>
      <c r="N937" t="s">
        <v>92</v>
      </c>
    </row>
    <row r="938" spans="1:14" x14ac:dyDescent="0.2">
      <c r="A938">
        <v>1304107</v>
      </c>
      <c r="B938">
        <f>YEAR(#REF!)</f>
        <v>2022</v>
      </c>
      <c r="C938" t="s">
        <v>514</v>
      </c>
      <c r="D938" s="1">
        <v>44695</v>
      </c>
      <c r="E938" t="s">
        <v>29</v>
      </c>
      <c r="F938" t="s">
        <v>39</v>
      </c>
      <c r="H938" t="s">
        <v>29</v>
      </c>
      <c r="I938" t="s">
        <v>77</v>
      </c>
      <c r="J938" t="s">
        <v>78</v>
      </c>
      <c r="K938" t="s">
        <v>29</v>
      </c>
      <c r="L938" t="s">
        <v>140</v>
      </c>
      <c r="M938" t="s">
        <v>340</v>
      </c>
      <c r="N938" t="s">
        <v>163</v>
      </c>
    </row>
    <row r="939" spans="1:14" x14ac:dyDescent="0.2">
      <c r="A939">
        <v>1304109</v>
      </c>
      <c r="B939">
        <f>YEAR(#REF!)</f>
        <v>2022</v>
      </c>
      <c r="C939" t="s">
        <v>514</v>
      </c>
      <c r="D939" s="1">
        <v>44696</v>
      </c>
      <c r="E939" t="s">
        <v>14</v>
      </c>
      <c r="F939" t="s">
        <v>117</v>
      </c>
      <c r="H939" t="s">
        <v>14</v>
      </c>
      <c r="I939" t="s">
        <v>77</v>
      </c>
      <c r="J939" t="s">
        <v>78</v>
      </c>
      <c r="K939" t="s">
        <v>14</v>
      </c>
      <c r="L939" t="s">
        <v>207</v>
      </c>
      <c r="M939" t="s">
        <v>113</v>
      </c>
      <c r="N939" t="s">
        <v>92</v>
      </c>
    </row>
    <row r="940" spans="1:14" x14ac:dyDescent="0.2">
      <c r="A940">
        <v>1304108</v>
      </c>
      <c r="B940">
        <f>YEAR(#REF!)</f>
        <v>2022</v>
      </c>
      <c r="C940" t="s">
        <v>514</v>
      </c>
      <c r="D940" s="1">
        <v>44696</v>
      </c>
      <c r="E940" t="s">
        <v>15</v>
      </c>
      <c r="F940" t="s">
        <v>55</v>
      </c>
      <c r="H940" t="s">
        <v>15</v>
      </c>
      <c r="I940" t="s">
        <v>77</v>
      </c>
      <c r="J940" t="s">
        <v>78</v>
      </c>
      <c r="K940" t="s">
        <v>55</v>
      </c>
      <c r="L940" t="s">
        <v>330</v>
      </c>
      <c r="M940" t="s">
        <v>91</v>
      </c>
      <c r="N940" t="s">
        <v>92</v>
      </c>
    </row>
    <row r="941" spans="1:14" x14ac:dyDescent="0.2">
      <c r="A941">
        <v>1304110</v>
      </c>
      <c r="B941">
        <f>YEAR(#REF!)</f>
        <v>2022</v>
      </c>
      <c r="C941" t="s">
        <v>514</v>
      </c>
      <c r="D941" s="1">
        <v>44697</v>
      </c>
      <c r="E941" t="s">
        <v>49</v>
      </c>
      <c r="F941" t="s">
        <v>62</v>
      </c>
      <c r="H941" t="s">
        <v>62</v>
      </c>
      <c r="I941" t="s">
        <v>89</v>
      </c>
      <c r="J941" t="s">
        <v>78</v>
      </c>
      <c r="K941" t="s">
        <v>49</v>
      </c>
      <c r="L941" t="s">
        <v>290</v>
      </c>
      <c r="M941" t="s">
        <v>212</v>
      </c>
      <c r="N941" t="s">
        <v>271</v>
      </c>
    </row>
    <row r="942" spans="1:14" x14ac:dyDescent="0.2">
      <c r="A942">
        <v>1304111</v>
      </c>
      <c r="B942">
        <f>YEAR(#REF!)</f>
        <v>2022</v>
      </c>
      <c r="C942" t="s">
        <v>514</v>
      </c>
      <c r="D942" s="1">
        <v>44698</v>
      </c>
      <c r="E942" t="s">
        <v>39</v>
      </c>
      <c r="F942" t="s">
        <v>24</v>
      </c>
      <c r="H942" t="s">
        <v>24</v>
      </c>
      <c r="I942" t="s">
        <v>89</v>
      </c>
      <c r="J942" t="s">
        <v>78</v>
      </c>
      <c r="K942" t="s">
        <v>39</v>
      </c>
      <c r="L942" t="s">
        <v>375</v>
      </c>
      <c r="M942" t="s">
        <v>91</v>
      </c>
      <c r="N942" t="s">
        <v>92</v>
      </c>
    </row>
    <row r="943" spans="1:14" x14ac:dyDescent="0.2">
      <c r="A943">
        <v>1304112</v>
      </c>
      <c r="B943">
        <f>YEAR(#REF!)</f>
        <v>2022</v>
      </c>
      <c r="C943" t="s">
        <v>514</v>
      </c>
      <c r="D943" s="1">
        <v>44699</v>
      </c>
      <c r="E943" t="s">
        <v>117</v>
      </c>
      <c r="F943" t="s">
        <v>29</v>
      </c>
      <c r="H943" t="s">
        <v>117</v>
      </c>
      <c r="I943" t="s">
        <v>77</v>
      </c>
      <c r="J943" t="s">
        <v>78</v>
      </c>
      <c r="K943" t="s">
        <v>117</v>
      </c>
      <c r="L943" t="s">
        <v>315</v>
      </c>
      <c r="M943" t="s">
        <v>212</v>
      </c>
      <c r="N943" t="s">
        <v>271</v>
      </c>
    </row>
    <row r="944" spans="1:14" x14ac:dyDescent="0.2">
      <c r="A944">
        <v>1304113</v>
      </c>
      <c r="B944">
        <f>YEAR(#REF!)</f>
        <v>2022</v>
      </c>
      <c r="C944" t="s">
        <v>514</v>
      </c>
      <c r="D944" s="1">
        <v>44700</v>
      </c>
      <c r="E944" t="s">
        <v>55</v>
      </c>
      <c r="F944" t="s">
        <v>20</v>
      </c>
      <c r="H944" t="s">
        <v>55</v>
      </c>
      <c r="I944" t="s">
        <v>77</v>
      </c>
      <c r="J944" t="s">
        <v>78</v>
      </c>
      <c r="K944" t="s">
        <v>20</v>
      </c>
      <c r="L944" t="s">
        <v>257</v>
      </c>
      <c r="M944" t="s">
        <v>91</v>
      </c>
      <c r="N944" t="s">
        <v>92</v>
      </c>
    </row>
    <row r="945" spans="1:14" x14ac:dyDescent="0.2">
      <c r="A945">
        <v>1304114</v>
      </c>
      <c r="B945">
        <f>YEAR(#REF!)</f>
        <v>2022</v>
      </c>
      <c r="C945" t="s">
        <v>514</v>
      </c>
      <c r="D945" s="1">
        <v>44701</v>
      </c>
      <c r="E945" t="s">
        <v>15</v>
      </c>
      <c r="F945" t="s">
        <v>14</v>
      </c>
      <c r="H945" t="s">
        <v>15</v>
      </c>
      <c r="I945" t="s">
        <v>77</v>
      </c>
      <c r="J945" t="s">
        <v>78</v>
      </c>
      <c r="K945" t="s">
        <v>14</v>
      </c>
      <c r="L945" t="s">
        <v>93</v>
      </c>
      <c r="M945" t="s">
        <v>113</v>
      </c>
      <c r="N945" t="s">
        <v>92</v>
      </c>
    </row>
    <row r="946" spans="1:14" x14ac:dyDescent="0.2">
      <c r="A946">
        <v>1304115</v>
      </c>
      <c r="B946">
        <f>YEAR(#REF!)</f>
        <v>2022</v>
      </c>
      <c r="C946" t="s">
        <v>514</v>
      </c>
      <c r="D946" s="1">
        <v>44702</v>
      </c>
      <c r="E946" t="s">
        <v>49</v>
      </c>
      <c r="F946" t="s">
        <v>24</v>
      </c>
      <c r="H946" t="s">
        <v>24</v>
      </c>
      <c r="I946" t="s">
        <v>89</v>
      </c>
      <c r="J946" t="s">
        <v>78</v>
      </c>
      <c r="K946" t="s">
        <v>24</v>
      </c>
      <c r="L946" t="s">
        <v>108</v>
      </c>
      <c r="M946" t="s">
        <v>91</v>
      </c>
      <c r="N946" t="s">
        <v>92</v>
      </c>
    </row>
    <row r="947" spans="1:14" x14ac:dyDescent="0.2">
      <c r="A947">
        <v>1304116</v>
      </c>
      <c r="B947">
        <f>YEAR(#REF!)</f>
        <v>2022</v>
      </c>
      <c r="C947" t="s">
        <v>514</v>
      </c>
      <c r="D947" s="1">
        <v>44703</v>
      </c>
      <c r="E947" t="s">
        <v>39</v>
      </c>
      <c r="F947" t="s">
        <v>62</v>
      </c>
      <c r="H947" t="s">
        <v>39</v>
      </c>
      <c r="I947" t="s">
        <v>77</v>
      </c>
      <c r="J947" t="s">
        <v>78</v>
      </c>
      <c r="K947" t="s">
        <v>62</v>
      </c>
      <c r="L947" t="s">
        <v>401</v>
      </c>
      <c r="M947" t="s">
        <v>91</v>
      </c>
      <c r="N947" t="s">
        <v>92</v>
      </c>
    </row>
    <row r="948" spans="1:14" x14ac:dyDescent="0.2">
      <c r="A948">
        <v>1312197</v>
      </c>
      <c r="B948">
        <f>YEAR(#REF!)</f>
        <v>2022</v>
      </c>
      <c r="C948" t="s">
        <v>514</v>
      </c>
      <c r="D948" s="1">
        <v>44705</v>
      </c>
      <c r="E948" t="s">
        <v>14</v>
      </c>
      <c r="F948" t="s">
        <v>55</v>
      </c>
      <c r="H948" t="s">
        <v>55</v>
      </c>
      <c r="I948" t="s">
        <v>89</v>
      </c>
      <c r="J948" t="s">
        <v>78</v>
      </c>
      <c r="K948" t="s">
        <v>55</v>
      </c>
      <c r="L948" t="s">
        <v>328</v>
      </c>
      <c r="M948" t="s">
        <v>227</v>
      </c>
      <c r="N948" t="s">
        <v>135</v>
      </c>
    </row>
    <row r="949" spans="1:14" x14ac:dyDescent="0.2">
      <c r="A949">
        <v>1312198</v>
      </c>
      <c r="B949">
        <f>YEAR(#REF!)</f>
        <v>2022</v>
      </c>
      <c r="C949" t="s">
        <v>514</v>
      </c>
      <c r="D949" s="1">
        <v>44706</v>
      </c>
      <c r="E949" t="s">
        <v>20</v>
      </c>
      <c r="F949" t="s">
        <v>117</v>
      </c>
      <c r="H949" t="s">
        <v>117</v>
      </c>
      <c r="I949" t="s">
        <v>89</v>
      </c>
      <c r="J949" t="s">
        <v>78</v>
      </c>
      <c r="K949" t="s">
        <v>20</v>
      </c>
      <c r="L949" t="s">
        <v>267</v>
      </c>
      <c r="M949" t="s">
        <v>227</v>
      </c>
      <c r="N949" t="s">
        <v>135</v>
      </c>
    </row>
    <row r="950" spans="1:14" x14ac:dyDescent="0.2">
      <c r="A950">
        <v>1312199</v>
      </c>
      <c r="B950">
        <f>YEAR(#REF!)</f>
        <v>2022</v>
      </c>
      <c r="C950" t="s">
        <v>514</v>
      </c>
      <c r="D950" s="1">
        <v>44708</v>
      </c>
      <c r="E950" t="s">
        <v>20</v>
      </c>
      <c r="F950" t="s">
        <v>14</v>
      </c>
      <c r="H950" t="s">
        <v>14</v>
      </c>
      <c r="I950" t="s">
        <v>89</v>
      </c>
      <c r="J950" t="s">
        <v>78</v>
      </c>
      <c r="K950" t="s">
        <v>14</v>
      </c>
      <c r="L950" t="s">
        <v>247</v>
      </c>
      <c r="M950" t="s">
        <v>129</v>
      </c>
      <c r="N950" t="s">
        <v>130</v>
      </c>
    </row>
    <row r="951" spans="1:14" x14ac:dyDescent="0.2">
      <c r="A951">
        <v>1312200</v>
      </c>
      <c r="B951">
        <f>YEAR(#REF!)</f>
        <v>2022</v>
      </c>
      <c r="C951" t="s">
        <v>514</v>
      </c>
      <c r="D951" s="1">
        <v>44710</v>
      </c>
      <c r="E951" t="s">
        <v>14</v>
      </c>
      <c r="F951" t="s">
        <v>55</v>
      </c>
      <c r="H951" t="s">
        <v>14</v>
      </c>
      <c r="I951" t="s">
        <v>77</v>
      </c>
      <c r="J951" t="s">
        <v>78</v>
      </c>
      <c r="K951" t="s">
        <v>55</v>
      </c>
      <c r="L951" t="s">
        <v>364</v>
      </c>
      <c r="M951" t="s">
        <v>129</v>
      </c>
      <c r="N951" t="s">
        <v>130</v>
      </c>
    </row>
    <row r="952" spans="1:14" x14ac:dyDescent="0.2">
      <c r="A952">
        <v>1359475</v>
      </c>
      <c r="B952">
        <f>YEAR(#REF!)</f>
        <v>2023</v>
      </c>
      <c r="C952" t="s">
        <v>515</v>
      </c>
      <c r="D952" s="1">
        <v>45016</v>
      </c>
      <c r="E952" t="s">
        <v>15</v>
      </c>
      <c r="F952" t="s">
        <v>55</v>
      </c>
      <c r="H952" t="s">
        <v>55</v>
      </c>
      <c r="I952" t="s">
        <v>89</v>
      </c>
      <c r="J952" t="s">
        <v>78</v>
      </c>
      <c r="K952" t="s">
        <v>55</v>
      </c>
      <c r="L952" t="s">
        <v>296</v>
      </c>
      <c r="M952" t="s">
        <v>129</v>
      </c>
      <c r="N952" t="s">
        <v>130</v>
      </c>
    </row>
    <row r="953" spans="1:14" x14ac:dyDescent="0.2">
      <c r="A953">
        <v>1359477</v>
      </c>
      <c r="B953">
        <f>YEAR(#REF!)</f>
        <v>2023</v>
      </c>
      <c r="C953" t="s">
        <v>515</v>
      </c>
      <c r="D953" s="1">
        <v>45017</v>
      </c>
      <c r="E953" t="s">
        <v>117</v>
      </c>
      <c r="F953" t="s">
        <v>49</v>
      </c>
      <c r="H953" t="s">
        <v>49</v>
      </c>
      <c r="I953" t="s">
        <v>89</v>
      </c>
      <c r="J953" t="s">
        <v>78</v>
      </c>
      <c r="K953" t="s">
        <v>117</v>
      </c>
      <c r="L953" t="s">
        <v>154</v>
      </c>
      <c r="M953" t="s">
        <v>155</v>
      </c>
      <c r="N953" t="s">
        <v>156</v>
      </c>
    </row>
    <row r="954" spans="1:14" x14ac:dyDescent="0.2">
      <c r="A954">
        <v>1359476</v>
      </c>
      <c r="B954">
        <f>YEAR(#REF!)</f>
        <v>2023</v>
      </c>
      <c r="C954" t="s">
        <v>515</v>
      </c>
      <c r="D954" s="1">
        <v>45017</v>
      </c>
      <c r="E954" t="s">
        <v>62</v>
      </c>
      <c r="F954" t="s">
        <v>29</v>
      </c>
      <c r="H954" t="s">
        <v>29</v>
      </c>
      <c r="I954" t="s">
        <v>89</v>
      </c>
      <c r="J954" t="s">
        <v>78</v>
      </c>
      <c r="K954" t="s">
        <v>62</v>
      </c>
      <c r="L954" t="s">
        <v>170</v>
      </c>
      <c r="M954" t="s">
        <v>171</v>
      </c>
      <c r="N954" t="s">
        <v>95</v>
      </c>
    </row>
    <row r="955" spans="1:14" x14ac:dyDescent="0.2">
      <c r="A955">
        <v>1359479</v>
      </c>
      <c r="B955">
        <f>YEAR(#REF!)</f>
        <v>2023</v>
      </c>
      <c r="C955" t="s">
        <v>515</v>
      </c>
      <c r="D955" s="1">
        <v>45018</v>
      </c>
      <c r="E955" t="s">
        <v>24</v>
      </c>
      <c r="F955" t="s">
        <v>20</v>
      </c>
      <c r="H955" t="s">
        <v>20</v>
      </c>
      <c r="I955" t="s">
        <v>89</v>
      </c>
      <c r="J955" t="s">
        <v>78</v>
      </c>
      <c r="K955" t="s">
        <v>20</v>
      </c>
      <c r="L955" t="s">
        <v>189</v>
      </c>
      <c r="M955" t="s">
        <v>242</v>
      </c>
      <c r="N955" t="s">
        <v>243</v>
      </c>
    </row>
    <row r="956" spans="1:14" x14ac:dyDescent="0.2">
      <c r="A956">
        <v>1359478</v>
      </c>
      <c r="B956">
        <f>YEAR(#REF!)</f>
        <v>2023</v>
      </c>
      <c r="C956" t="s">
        <v>515</v>
      </c>
      <c r="D956" s="1">
        <v>45018</v>
      </c>
      <c r="E956" t="s">
        <v>14</v>
      </c>
      <c r="F956" t="s">
        <v>39</v>
      </c>
      <c r="H956" t="s">
        <v>39</v>
      </c>
      <c r="I956" t="s">
        <v>89</v>
      </c>
      <c r="J956" t="s">
        <v>78</v>
      </c>
      <c r="K956" t="s">
        <v>14</v>
      </c>
      <c r="L956" t="s">
        <v>247</v>
      </c>
      <c r="M956" t="s">
        <v>235</v>
      </c>
      <c r="N956" t="s">
        <v>145</v>
      </c>
    </row>
    <row r="957" spans="1:14" x14ac:dyDescent="0.2">
      <c r="A957">
        <v>1359480</v>
      </c>
      <c r="B957">
        <f>YEAR(#REF!)</f>
        <v>2023</v>
      </c>
      <c r="C957" t="s">
        <v>515</v>
      </c>
      <c r="D957" s="1">
        <v>45019</v>
      </c>
      <c r="E957" t="s">
        <v>15</v>
      </c>
      <c r="F957" t="s">
        <v>117</v>
      </c>
      <c r="H957" t="s">
        <v>117</v>
      </c>
      <c r="I957" t="s">
        <v>89</v>
      </c>
      <c r="J957" t="s">
        <v>78</v>
      </c>
      <c r="K957" t="s">
        <v>15</v>
      </c>
      <c r="L957" t="s">
        <v>251</v>
      </c>
      <c r="M957" t="s">
        <v>106</v>
      </c>
      <c r="N957" t="s">
        <v>107</v>
      </c>
    </row>
    <row r="958" spans="1:14" x14ac:dyDescent="0.2">
      <c r="A958">
        <v>1359481</v>
      </c>
      <c r="B958">
        <f>YEAR(#REF!)</f>
        <v>2023</v>
      </c>
      <c r="C958" t="s">
        <v>515</v>
      </c>
      <c r="D958" s="1">
        <v>45020</v>
      </c>
      <c r="E958" t="s">
        <v>49</v>
      </c>
      <c r="F958" t="s">
        <v>55</v>
      </c>
      <c r="H958" t="s">
        <v>55</v>
      </c>
      <c r="I958" t="s">
        <v>89</v>
      </c>
      <c r="J958" t="s">
        <v>78</v>
      </c>
      <c r="K958" t="s">
        <v>55</v>
      </c>
      <c r="L958" t="s">
        <v>63</v>
      </c>
      <c r="M958" t="s">
        <v>149</v>
      </c>
      <c r="N958" t="s">
        <v>88</v>
      </c>
    </row>
    <row r="959" spans="1:14" x14ac:dyDescent="0.2">
      <c r="A959">
        <v>1359482</v>
      </c>
      <c r="B959">
        <f>YEAR(#REF!)</f>
        <v>2023</v>
      </c>
      <c r="C959" t="s">
        <v>515</v>
      </c>
      <c r="D959" s="1">
        <v>45021</v>
      </c>
      <c r="E959" t="s">
        <v>62</v>
      </c>
      <c r="F959" t="s">
        <v>14</v>
      </c>
      <c r="H959" t="s">
        <v>14</v>
      </c>
      <c r="I959" t="s">
        <v>89</v>
      </c>
      <c r="J959" t="s">
        <v>78</v>
      </c>
      <c r="K959" t="s">
        <v>62</v>
      </c>
      <c r="L959" t="s">
        <v>490</v>
      </c>
      <c r="M959" t="s">
        <v>351</v>
      </c>
      <c r="N959" t="s">
        <v>352</v>
      </c>
    </row>
    <row r="960" spans="1:14" x14ac:dyDescent="0.2">
      <c r="A960">
        <v>1359483</v>
      </c>
      <c r="B960">
        <f>YEAR(#REF!)</f>
        <v>2023</v>
      </c>
      <c r="C960" t="s">
        <v>515</v>
      </c>
      <c r="D960" s="1">
        <v>45022</v>
      </c>
      <c r="E960" t="s">
        <v>29</v>
      </c>
      <c r="F960" t="s">
        <v>20</v>
      </c>
      <c r="H960" t="s">
        <v>20</v>
      </c>
      <c r="I960" t="s">
        <v>89</v>
      </c>
      <c r="J960" t="s">
        <v>78</v>
      </c>
      <c r="K960" t="s">
        <v>29</v>
      </c>
      <c r="L960" t="s">
        <v>290</v>
      </c>
      <c r="M960" t="s">
        <v>227</v>
      </c>
      <c r="N960" t="s">
        <v>135</v>
      </c>
    </row>
    <row r="961" spans="1:14" x14ac:dyDescent="0.2">
      <c r="A961">
        <v>1359484</v>
      </c>
      <c r="B961">
        <f>YEAR(#REF!)</f>
        <v>2023</v>
      </c>
      <c r="C961" t="s">
        <v>515</v>
      </c>
      <c r="D961" s="1">
        <v>45023</v>
      </c>
      <c r="E961" t="s">
        <v>39</v>
      </c>
      <c r="F961" t="s">
        <v>117</v>
      </c>
      <c r="H961" t="s">
        <v>39</v>
      </c>
      <c r="I961" t="s">
        <v>77</v>
      </c>
      <c r="J961" t="s">
        <v>78</v>
      </c>
      <c r="K961" t="s">
        <v>117</v>
      </c>
      <c r="L961" t="s">
        <v>148</v>
      </c>
      <c r="M961" t="s">
        <v>155</v>
      </c>
      <c r="N961" t="s">
        <v>156</v>
      </c>
    </row>
    <row r="962" spans="1:14" x14ac:dyDescent="0.2">
      <c r="A962">
        <v>1359485</v>
      </c>
      <c r="B962">
        <f>YEAR(#REF!)</f>
        <v>2023</v>
      </c>
      <c r="C962" t="s">
        <v>515</v>
      </c>
      <c r="D962" s="1">
        <v>45024</v>
      </c>
      <c r="E962" t="s">
        <v>14</v>
      </c>
      <c r="F962" t="s">
        <v>49</v>
      </c>
      <c r="H962" t="s">
        <v>49</v>
      </c>
      <c r="I962" t="s">
        <v>89</v>
      </c>
      <c r="J962" t="s">
        <v>78</v>
      </c>
      <c r="K962" t="s">
        <v>14</v>
      </c>
      <c r="L962" t="s">
        <v>284</v>
      </c>
      <c r="M962" t="s">
        <v>351</v>
      </c>
      <c r="N962" t="s">
        <v>352</v>
      </c>
    </row>
    <row r="963" spans="1:14" x14ac:dyDescent="0.2">
      <c r="A963">
        <v>1359486</v>
      </c>
      <c r="B963">
        <f>YEAR(#REF!)</f>
        <v>2023</v>
      </c>
      <c r="C963" t="s">
        <v>515</v>
      </c>
      <c r="D963" s="1">
        <v>45024</v>
      </c>
      <c r="E963" t="s">
        <v>24</v>
      </c>
      <c r="F963" t="s">
        <v>15</v>
      </c>
      <c r="H963" t="s">
        <v>15</v>
      </c>
      <c r="I963" t="s">
        <v>89</v>
      </c>
      <c r="J963" t="s">
        <v>78</v>
      </c>
      <c r="K963" t="s">
        <v>15</v>
      </c>
      <c r="L963" t="s">
        <v>179</v>
      </c>
      <c r="M963" t="s">
        <v>91</v>
      </c>
      <c r="N963" t="s">
        <v>92</v>
      </c>
    </row>
    <row r="964" spans="1:14" x14ac:dyDescent="0.2">
      <c r="A964">
        <v>1359488</v>
      </c>
      <c r="B964">
        <f>YEAR(#REF!)</f>
        <v>2023</v>
      </c>
      <c r="C964" t="s">
        <v>515</v>
      </c>
      <c r="D964" s="1">
        <v>45025</v>
      </c>
      <c r="E964" t="s">
        <v>62</v>
      </c>
      <c r="F964" t="s">
        <v>39</v>
      </c>
      <c r="H964" t="s">
        <v>39</v>
      </c>
      <c r="I964" t="s">
        <v>89</v>
      </c>
      <c r="J964" t="s">
        <v>78</v>
      </c>
      <c r="K964" t="s">
        <v>39</v>
      </c>
      <c r="L964" t="s">
        <v>90</v>
      </c>
      <c r="M964" t="s">
        <v>235</v>
      </c>
      <c r="N964" t="s">
        <v>145</v>
      </c>
    </row>
    <row r="965" spans="1:14" x14ac:dyDescent="0.2">
      <c r="A965">
        <v>1359487</v>
      </c>
      <c r="B965">
        <f>YEAR(#REF!)</f>
        <v>2023</v>
      </c>
      <c r="C965" t="s">
        <v>515</v>
      </c>
      <c r="D965" s="1">
        <v>45025</v>
      </c>
      <c r="E965" t="s">
        <v>55</v>
      </c>
      <c r="F965" t="s">
        <v>29</v>
      </c>
      <c r="H965" t="s">
        <v>55</v>
      </c>
      <c r="I965" t="s">
        <v>77</v>
      </c>
      <c r="J965" t="s">
        <v>78</v>
      </c>
      <c r="K965" t="s">
        <v>29</v>
      </c>
      <c r="L965" t="s">
        <v>318</v>
      </c>
      <c r="M965" t="s">
        <v>129</v>
      </c>
      <c r="N965" t="s">
        <v>130</v>
      </c>
    </row>
    <row r="966" spans="1:14" x14ac:dyDescent="0.2">
      <c r="A966">
        <v>1359489</v>
      </c>
      <c r="B966">
        <f>YEAR(#REF!)</f>
        <v>2023</v>
      </c>
      <c r="C966" t="s">
        <v>515</v>
      </c>
      <c r="D966" s="1">
        <v>45026</v>
      </c>
      <c r="E966" t="s">
        <v>20</v>
      </c>
      <c r="F966" t="s">
        <v>117</v>
      </c>
      <c r="H966" t="s">
        <v>117</v>
      </c>
      <c r="I966" t="s">
        <v>89</v>
      </c>
      <c r="J966" t="s">
        <v>78</v>
      </c>
      <c r="K966" t="s">
        <v>117</v>
      </c>
      <c r="L966" t="s">
        <v>241</v>
      </c>
      <c r="M966" t="s">
        <v>242</v>
      </c>
      <c r="N966" t="s">
        <v>243</v>
      </c>
    </row>
    <row r="967" spans="1:14" x14ac:dyDescent="0.2">
      <c r="A967">
        <v>1359490</v>
      </c>
      <c r="B967">
        <f>YEAR(#REF!)</f>
        <v>2023</v>
      </c>
      <c r="C967" t="s">
        <v>515</v>
      </c>
      <c r="D967" s="1">
        <v>45027</v>
      </c>
      <c r="E967" t="s">
        <v>49</v>
      </c>
      <c r="F967" t="s">
        <v>24</v>
      </c>
      <c r="H967" t="s">
        <v>24</v>
      </c>
      <c r="I967" t="s">
        <v>89</v>
      </c>
      <c r="J967" t="s">
        <v>78</v>
      </c>
      <c r="K967" t="s">
        <v>24</v>
      </c>
      <c r="L967" t="s">
        <v>96</v>
      </c>
      <c r="M967" t="s">
        <v>149</v>
      </c>
      <c r="N967" t="s">
        <v>88</v>
      </c>
    </row>
    <row r="968" spans="1:14" x14ac:dyDescent="0.2">
      <c r="A968">
        <v>1359491</v>
      </c>
      <c r="B968">
        <f>YEAR(#REF!)</f>
        <v>2023</v>
      </c>
      <c r="C968" t="s">
        <v>515</v>
      </c>
      <c r="D968" s="1">
        <v>45028</v>
      </c>
      <c r="E968" t="s">
        <v>14</v>
      </c>
      <c r="F968" t="s">
        <v>15</v>
      </c>
      <c r="H968" t="s">
        <v>15</v>
      </c>
      <c r="I968" t="s">
        <v>89</v>
      </c>
      <c r="J968" t="s">
        <v>78</v>
      </c>
      <c r="K968" t="s">
        <v>14</v>
      </c>
      <c r="L968" t="s">
        <v>93</v>
      </c>
      <c r="M968" t="s">
        <v>106</v>
      </c>
      <c r="N968" t="s">
        <v>107</v>
      </c>
    </row>
    <row r="969" spans="1:14" x14ac:dyDescent="0.2">
      <c r="A969">
        <v>1359492</v>
      </c>
      <c r="B969">
        <f>YEAR(#REF!)</f>
        <v>2023</v>
      </c>
      <c r="C969" t="s">
        <v>515</v>
      </c>
      <c r="D969" s="1">
        <v>45029</v>
      </c>
      <c r="E969" t="s">
        <v>62</v>
      </c>
      <c r="F969" t="s">
        <v>55</v>
      </c>
      <c r="H969" t="s">
        <v>55</v>
      </c>
      <c r="I969" t="s">
        <v>89</v>
      </c>
      <c r="J969" t="s">
        <v>78</v>
      </c>
      <c r="K969" t="s">
        <v>55</v>
      </c>
      <c r="L969" t="s">
        <v>313</v>
      </c>
      <c r="M969" t="s">
        <v>171</v>
      </c>
      <c r="N969" t="s">
        <v>95</v>
      </c>
    </row>
    <row r="970" spans="1:14" x14ac:dyDescent="0.2">
      <c r="A970">
        <v>1359493</v>
      </c>
      <c r="B970">
        <f>YEAR(#REF!)</f>
        <v>2023</v>
      </c>
      <c r="C970" t="s">
        <v>515</v>
      </c>
      <c r="D970" s="1">
        <v>45030</v>
      </c>
      <c r="E970" t="s">
        <v>39</v>
      </c>
      <c r="F970" t="s">
        <v>29</v>
      </c>
      <c r="H970" t="s">
        <v>29</v>
      </c>
      <c r="I970" t="s">
        <v>89</v>
      </c>
      <c r="J970" t="s">
        <v>78</v>
      </c>
      <c r="K970" t="s">
        <v>39</v>
      </c>
      <c r="L970" t="s">
        <v>466</v>
      </c>
      <c r="M970" t="s">
        <v>227</v>
      </c>
      <c r="N970" t="s">
        <v>135</v>
      </c>
    </row>
    <row r="971" spans="1:14" x14ac:dyDescent="0.2">
      <c r="A971">
        <v>1359495</v>
      </c>
      <c r="B971">
        <f>YEAR(#REF!)</f>
        <v>2023</v>
      </c>
      <c r="C971" t="s">
        <v>515</v>
      </c>
      <c r="D971" s="1">
        <v>45031</v>
      </c>
      <c r="E971" t="s">
        <v>117</v>
      </c>
      <c r="F971" t="s">
        <v>62</v>
      </c>
      <c r="H971" t="s">
        <v>62</v>
      </c>
      <c r="I971" t="s">
        <v>89</v>
      </c>
      <c r="J971" t="s">
        <v>78</v>
      </c>
      <c r="K971" t="s">
        <v>62</v>
      </c>
      <c r="L971" t="s">
        <v>324</v>
      </c>
      <c r="M971" t="s">
        <v>155</v>
      </c>
      <c r="N971" t="s">
        <v>156</v>
      </c>
    </row>
    <row r="972" spans="1:14" x14ac:dyDescent="0.2">
      <c r="A972">
        <v>1359494</v>
      </c>
      <c r="B972">
        <f>YEAR(#REF!)</f>
        <v>2023</v>
      </c>
      <c r="C972" t="s">
        <v>515</v>
      </c>
      <c r="D972" s="1">
        <v>45031</v>
      </c>
      <c r="E972" t="s">
        <v>20</v>
      </c>
      <c r="F972" t="s">
        <v>49</v>
      </c>
      <c r="H972" t="s">
        <v>49</v>
      </c>
      <c r="I972" t="s">
        <v>89</v>
      </c>
      <c r="J972" t="s">
        <v>78</v>
      </c>
      <c r="K972" t="s">
        <v>20</v>
      </c>
      <c r="L972" t="s">
        <v>257</v>
      </c>
      <c r="M972" t="s">
        <v>242</v>
      </c>
      <c r="N972" t="s">
        <v>243</v>
      </c>
    </row>
    <row r="973" spans="1:14" x14ac:dyDescent="0.2">
      <c r="A973">
        <v>1359496</v>
      </c>
      <c r="B973">
        <f>YEAR(#REF!)</f>
        <v>2023</v>
      </c>
      <c r="C973" t="s">
        <v>515</v>
      </c>
      <c r="D973" s="1">
        <v>45032</v>
      </c>
      <c r="E973" t="s">
        <v>29</v>
      </c>
      <c r="F973" t="s">
        <v>24</v>
      </c>
      <c r="H973" t="s">
        <v>24</v>
      </c>
      <c r="I973" t="s">
        <v>89</v>
      </c>
      <c r="J973" t="s">
        <v>78</v>
      </c>
      <c r="K973" t="s">
        <v>24</v>
      </c>
      <c r="L973" t="s">
        <v>224</v>
      </c>
      <c r="M973" t="s">
        <v>91</v>
      </c>
      <c r="N973" t="s">
        <v>92</v>
      </c>
    </row>
    <row r="974" spans="1:14" x14ac:dyDescent="0.2">
      <c r="A974">
        <v>1359497</v>
      </c>
      <c r="B974">
        <f>YEAR(#REF!)</f>
        <v>2023</v>
      </c>
      <c r="C974" t="s">
        <v>515</v>
      </c>
      <c r="D974" s="1">
        <v>45032</v>
      </c>
      <c r="E974" t="s">
        <v>55</v>
      </c>
      <c r="F974" t="s">
        <v>14</v>
      </c>
      <c r="H974" t="s">
        <v>14</v>
      </c>
      <c r="I974" t="s">
        <v>89</v>
      </c>
      <c r="J974" t="s">
        <v>78</v>
      </c>
      <c r="K974" t="s">
        <v>14</v>
      </c>
      <c r="L974" t="s">
        <v>289</v>
      </c>
      <c r="M974" t="s">
        <v>129</v>
      </c>
      <c r="N974" t="s">
        <v>130</v>
      </c>
    </row>
    <row r="975" spans="1:14" x14ac:dyDescent="0.2">
      <c r="A975">
        <v>1359498</v>
      </c>
      <c r="B975">
        <f>YEAR(#REF!)</f>
        <v>2023</v>
      </c>
      <c r="C975" t="s">
        <v>515</v>
      </c>
      <c r="D975" s="1">
        <v>45033</v>
      </c>
      <c r="E975" t="s">
        <v>15</v>
      </c>
      <c r="F975" t="s">
        <v>20</v>
      </c>
      <c r="H975" t="s">
        <v>20</v>
      </c>
      <c r="I975" t="s">
        <v>89</v>
      </c>
      <c r="J975" t="s">
        <v>78</v>
      </c>
      <c r="K975" t="s">
        <v>15</v>
      </c>
      <c r="L975" t="s">
        <v>355</v>
      </c>
      <c r="M975" t="s">
        <v>242</v>
      </c>
      <c r="N975" t="s">
        <v>243</v>
      </c>
    </row>
    <row r="976" spans="1:14" x14ac:dyDescent="0.2">
      <c r="A976">
        <v>1359499</v>
      </c>
      <c r="B976">
        <f>YEAR(#REF!)</f>
        <v>2023</v>
      </c>
      <c r="C976" t="s">
        <v>515</v>
      </c>
      <c r="D976" s="1">
        <v>45034</v>
      </c>
      <c r="E976" t="s">
        <v>24</v>
      </c>
      <c r="F976" t="s">
        <v>39</v>
      </c>
      <c r="H976" t="s">
        <v>39</v>
      </c>
      <c r="I976" t="s">
        <v>89</v>
      </c>
      <c r="J976" t="s">
        <v>78</v>
      </c>
      <c r="K976" t="s">
        <v>24</v>
      </c>
      <c r="L976" t="s">
        <v>261</v>
      </c>
      <c r="M976" t="s">
        <v>235</v>
      </c>
      <c r="N976" t="s">
        <v>145</v>
      </c>
    </row>
    <row r="977" spans="1:14" x14ac:dyDescent="0.2">
      <c r="A977">
        <v>1359500</v>
      </c>
      <c r="B977">
        <f>YEAR(#REF!)</f>
        <v>2023</v>
      </c>
      <c r="C977" t="s">
        <v>515</v>
      </c>
      <c r="D977" s="1">
        <v>45035</v>
      </c>
      <c r="E977" t="s">
        <v>117</v>
      </c>
      <c r="F977" t="s">
        <v>14</v>
      </c>
      <c r="H977" t="s">
        <v>14</v>
      </c>
      <c r="I977" t="s">
        <v>89</v>
      </c>
      <c r="J977" t="s">
        <v>78</v>
      </c>
      <c r="K977" t="s">
        <v>117</v>
      </c>
      <c r="L977" t="s">
        <v>245</v>
      </c>
      <c r="M977" t="s">
        <v>84</v>
      </c>
      <c r="N977" t="s">
        <v>85</v>
      </c>
    </row>
    <row r="978" spans="1:14" x14ac:dyDescent="0.2">
      <c r="A978">
        <v>1359502</v>
      </c>
      <c r="B978">
        <f>YEAR(#REF!)</f>
        <v>2023</v>
      </c>
      <c r="C978" t="s">
        <v>515</v>
      </c>
      <c r="D978" s="1">
        <v>45036</v>
      </c>
      <c r="E978" t="s">
        <v>29</v>
      </c>
      <c r="F978" t="s">
        <v>49</v>
      </c>
      <c r="H978" t="s">
        <v>49</v>
      </c>
      <c r="I978" t="s">
        <v>89</v>
      </c>
      <c r="J978" t="s">
        <v>78</v>
      </c>
      <c r="K978" t="s">
        <v>49</v>
      </c>
      <c r="L978" t="s">
        <v>320</v>
      </c>
      <c r="M978" t="s">
        <v>149</v>
      </c>
      <c r="N978" t="s">
        <v>88</v>
      </c>
    </row>
    <row r="979" spans="1:14" x14ac:dyDescent="0.2">
      <c r="A979">
        <v>1359501</v>
      </c>
      <c r="B979">
        <f>YEAR(#REF!)</f>
        <v>2023</v>
      </c>
      <c r="C979" t="s">
        <v>515</v>
      </c>
      <c r="D979" s="1">
        <v>45036</v>
      </c>
      <c r="E979" t="s">
        <v>20</v>
      </c>
      <c r="F979" t="s">
        <v>62</v>
      </c>
      <c r="H979" t="s">
        <v>62</v>
      </c>
      <c r="I979" t="s">
        <v>89</v>
      </c>
      <c r="J979" t="s">
        <v>78</v>
      </c>
      <c r="K979" t="s">
        <v>20</v>
      </c>
      <c r="L979" t="s">
        <v>329</v>
      </c>
      <c r="M979" t="s">
        <v>171</v>
      </c>
      <c r="N979" t="s">
        <v>95</v>
      </c>
    </row>
    <row r="980" spans="1:14" x14ac:dyDescent="0.2">
      <c r="A980">
        <v>1359503</v>
      </c>
      <c r="B980">
        <f>YEAR(#REF!)</f>
        <v>2023</v>
      </c>
      <c r="C980" t="s">
        <v>515</v>
      </c>
      <c r="D980" s="1">
        <v>45037</v>
      </c>
      <c r="E980" t="s">
        <v>39</v>
      </c>
      <c r="F980" t="s">
        <v>15</v>
      </c>
      <c r="H980" t="s">
        <v>15</v>
      </c>
      <c r="I980" t="s">
        <v>89</v>
      </c>
      <c r="J980" t="s">
        <v>78</v>
      </c>
      <c r="K980" t="s">
        <v>15</v>
      </c>
      <c r="L980" t="s">
        <v>179</v>
      </c>
      <c r="M980" t="s">
        <v>106</v>
      </c>
      <c r="N980" t="s">
        <v>107</v>
      </c>
    </row>
    <row r="981" spans="1:14" x14ac:dyDescent="0.2">
      <c r="A981">
        <v>1359505</v>
      </c>
      <c r="B981">
        <f>YEAR(#REF!)</f>
        <v>2023</v>
      </c>
      <c r="C981" t="s">
        <v>515</v>
      </c>
      <c r="D981" s="1">
        <v>45038</v>
      </c>
      <c r="E981" t="s">
        <v>62</v>
      </c>
      <c r="F981" t="s">
        <v>24</v>
      </c>
      <c r="H981" t="s">
        <v>24</v>
      </c>
      <c r="I981" t="s">
        <v>89</v>
      </c>
      <c r="J981" t="s">
        <v>78</v>
      </c>
      <c r="K981" t="s">
        <v>62</v>
      </c>
      <c r="L981" t="s">
        <v>206</v>
      </c>
      <c r="M981" t="s">
        <v>91</v>
      </c>
      <c r="N981" t="s">
        <v>92</v>
      </c>
    </row>
    <row r="982" spans="1:14" x14ac:dyDescent="0.2">
      <c r="A982">
        <v>1359504</v>
      </c>
      <c r="B982">
        <f>YEAR(#REF!)</f>
        <v>2023</v>
      </c>
      <c r="C982" t="s">
        <v>515</v>
      </c>
      <c r="D982" s="1">
        <v>45038</v>
      </c>
      <c r="E982" t="s">
        <v>55</v>
      </c>
      <c r="F982" t="s">
        <v>117</v>
      </c>
      <c r="H982" t="s">
        <v>55</v>
      </c>
      <c r="I982" t="s">
        <v>77</v>
      </c>
      <c r="J982" t="s">
        <v>78</v>
      </c>
      <c r="K982" t="s">
        <v>55</v>
      </c>
      <c r="L982" t="s">
        <v>313</v>
      </c>
      <c r="M982" t="s">
        <v>155</v>
      </c>
      <c r="N982" t="s">
        <v>156</v>
      </c>
    </row>
    <row r="983" spans="1:14" x14ac:dyDescent="0.2">
      <c r="A983">
        <v>1359506</v>
      </c>
      <c r="B983">
        <f>YEAR(#REF!)</f>
        <v>2023</v>
      </c>
      <c r="C983" t="s">
        <v>515</v>
      </c>
      <c r="D983" s="1">
        <v>45039</v>
      </c>
      <c r="E983" t="s">
        <v>20</v>
      </c>
      <c r="F983" t="s">
        <v>14</v>
      </c>
      <c r="H983" t="s">
        <v>14</v>
      </c>
      <c r="I983" t="s">
        <v>89</v>
      </c>
      <c r="J983" t="s">
        <v>78</v>
      </c>
      <c r="K983" t="s">
        <v>20</v>
      </c>
      <c r="L983" t="s">
        <v>248</v>
      </c>
      <c r="M983" t="s">
        <v>242</v>
      </c>
      <c r="N983" t="s">
        <v>243</v>
      </c>
    </row>
    <row r="984" spans="1:14" x14ac:dyDescent="0.2">
      <c r="A984">
        <v>1359507</v>
      </c>
      <c r="B984">
        <f>YEAR(#REF!)</f>
        <v>2023</v>
      </c>
      <c r="C984" t="s">
        <v>515</v>
      </c>
      <c r="D984" s="1">
        <v>45039</v>
      </c>
      <c r="E984" t="s">
        <v>15</v>
      </c>
      <c r="F984" t="s">
        <v>29</v>
      </c>
      <c r="H984" t="s">
        <v>29</v>
      </c>
      <c r="I984" t="s">
        <v>89</v>
      </c>
      <c r="J984" t="s">
        <v>78</v>
      </c>
      <c r="K984" t="s">
        <v>15</v>
      </c>
      <c r="L984" t="s">
        <v>263</v>
      </c>
      <c r="M984" t="s">
        <v>227</v>
      </c>
      <c r="N984" t="s">
        <v>135</v>
      </c>
    </row>
    <row r="985" spans="1:14" x14ac:dyDescent="0.2">
      <c r="A985">
        <v>1359508</v>
      </c>
      <c r="B985">
        <f>YEAR(#REF!)</f>
        <v>2023</v>
      </c>
      <c r="C985" t="s">
        <v>515</v>
      </c>
      <c r="D985" s="1">
        <v>45040</v>
      </c>
      <c r="E985" t="s">
        <v>49</v>
      </c>
      <c r="F985" t="s">
        <v>39</v>
      </c>
      <c r="H985" t="s">
        <v>49</v>
      </c>
      <c r="I985" t="s">
        <v>77</v>
      </c>
      <c r="J985" t="s">
        <v>78</v>
      </c>
      <c r="K985" t="s">
        <v>49</v>
      </c>
      <c r="L985" t="s">
        <v>137</v>
      </c>
      <c r="M985" t="s">
        <v>235</v>
      </c>
      <c r="N985" t="s">
        <v>145</v>
      </c>
    </row>
    <row r="986" spans="1:14" x14ac:dyDescent="0.2">
      <c r="A986">
        <v>1359509</v>
      </c>
      <c r="B986">
        <f>YEAR(#REF!)</f>
        <v>2023</v>
      </c>
      <c r="C986" t="s">
        <v>515</v>
      </c>
      <c r="D986" s="1">
        <v>45041</v>
      </c>
      <c r="E986" t="s">
        <v>55</v>
      </c>
      <c r="F986" t="s">
        <v>24</v>
      </c>
      <c r="H986" t="s">
        <v>24</v>
      </c>
      <c r="I986" t="s">
        <v>89</v>
      </c>
      <c r="J986" t="s">
        <v>78</v>
      </c>
      <c r="K986" t="s">
        <v>55</v>
      </c>
      <c r="L986" t="s">
        <v>439</v>
      </c>
      <c r="M986" t="s">
        <v>129</v>
      </c>
      <c r="N986" t="s">
        <v>130</v>
      </c>
    </row>
    <row r="987" spans="1:14" x14ac:dyDescent="0.2">
      <c r="A987">
        <v>1359510</v>
      </c>
      <c r="B987">
        <f>YEAR(#REF!)</f>
        <v>2023</v>
      </c>
      <c r="C987" t="s">
        <v>515</v>
      </c>
      <c r="D987" s="1">
        <v>45042</v>
      </c>
      <c r="E987" t="s">
        <v>29</v>
      </c>
      <c r="F987" t="s">
        <v>20</v>
      </c>
      <c r="H987" t="s">
        <v>20</v>
      </c>
      <c r="I987" t="s">
        <v>89</v>
      </c>
      <c r="J987" t="s">
        <v>78</v>
      </c>
      <c r="K987" t="s">
        <v>29</v>
      </c>
      <c r="L987" t="s">
        <v>244</v>
      </c>
      <c r="M987" t="s">
        <v>242</v>
      </c>
      <c r="N987" t="s">
        <v>243</v>
      </c>
    </row>
    <row r="988" spans="1:14" x14ac:dyDescent="0.2">
      <c r="A988">
        <v>1359511</v>
      </c>
      <c r="B988">
        <f>YEAR(#REF!)</f>
        <v>2023</v>
      </c>
      <c r="C988" t="s">
        <v>515</v>
      </c>
      <c r="D988" s="1">
        <v>45043</v>
      </c>
      <c r="E988" t="s">
        <v>14</v>
      </c>
      <c r="F988" t="s">
        <v>15</v>
      </c>
      <c r="H988" t="s">
        <v>14</v>
      </c>
      <c r="I988" t="s">
        <v>77</v>
      </c>
      <c r="J988" t="s">
        <v>78</v>
      </c>
      <c r="K988" t="s">
        <v>14</v>
      </c>
      <c r="L988" t="s">
        <v>284</v>
      </c>
      <c r="M988" t="s">
        <v>84</v>
      </c>
      <c r="N988" t="s">
        <v>85</v>
      </c>
    </row>
    <row r="989" spans="1:14" x14ac:dyDescent="0.2">
      <c r="A989">
        <v>1359512</v>
      </c>
      <c r="B989">
        <f>YEAR(#REF!)</f>
        <v>2023</v>
      </c>
      <c r="C989" t="s">
        <v>515</v>
      </c>
      <c r="D989" s="1">
        <v>45044</v>
      </c>
      <c r="E989" t="s">
        <v>117</v>
      </c>
      <c r="F989" t="s">
        <v>62</v>
      </c>
      <c r="H989" t="s">
        <v>62</v>
      </c>
      <c r="I989" t="s">
        <v>89</v>
      </c>
      <c r="J989" t="s">
        <v>78</v>
      </c>
      <c r="K989" t="s">
        <v>117</v>
      </c>
      <c r="L989" t="s">
        <v>245</v>
      </c>
      <c r="M989" t="s">
        <v>171</v>
      </c>
      <c r="N989" t="s">
        <v>95</v>
      </c>
    </row>
    <row r="990" spans="1:14" x14ac:dyDescent="0.2">
      <c r="A990">
        <v>1359514</v>
      </c>
      <c r="B990">
        <f>YEAR(#REF!)</f>
        <v>2023</v>
      </c>
      <c r="C990" t="s">
        <v>515</v>
      </c>
      <c r="D990" s="1">
        <v>45045</v>
      </c>
      <c r="E990" t="s">
        <v>39</v>
      </c>
      <c r="F990" t="s">
        <v>49</v>
      </c>
      <c r="H990" t="s">
        <v>39</v>
      </c>
      <c r="I990" t="s">
        <v>77</v>
      </c>
      <c r="J990" t="s">
        <v>78</v>
      </c>
      <c r="K990" t="s">
        <v>39</v>
      </c>
      <c r="L990" t="s">
        <v>346</v>
      </c>
      <c r="M990" t="s">
        <v>149</v>
      </c>
      <c r="N990" t="s">
        <v>88</v>
      </c>
    </row>
    <row r="991" spans="1:14" x14ac:dyDescent="0.2">
      <c r="A991">
        <v>1359513</v>
      </c>
      <c r="B991">
        <f>YEAR(#REF!)</f>
        <v>2023</v>
      </c>
      <c r="C991" t="s">
        <v>515</v>
      </c>
      <c r="D991" s="1">
        <v>45045</v>
      </c>
      <c r="E991" t="s">
        <v>29</v>
      </c>
      <c r="F991" t="s">
        <v>55</v>
      </c>
      <c r="H991" t="s">
        <v>55</v>
      </c>
      <c r="I991" t="s">
        <v>89</v>
      </c>
      <c r="J991" t="s">
        <v>78</v>
      </c>
      <c r="K991" t="s">
        <v>55</v>
      </c>
      <c r="L991" t="s">
        <v>488</v>
      </c>
      <c r="M991" t="s">
        <v>227</v>
      </c>
      <c r="N991" t="s">
        <v>135</v>
      </c>
    </row>
    <row r="992" spans="1:14" x14ac:dyDescent="0.2">
      <c r="A992">
        <v>1359515</v>
      </c>
      <c r="B992">
        <f>YEAR(#REF!)</f>
        <v>2023</v>
      </c>
      <c r="C992" t="s">
        <v>515</v>
      </c>
      <c r="D992" s="1">
        <v>45046</v>
      </c>
      <c r="E992" t="s">
        <v>15</v>
      </c>
      <c r="F992" t="s">
        <v>62</v>
      </c>
      <c r="H992" t="s">
        <v>15</v>
      </c>
      <c r="I992" t="s">
        <v>77</v>
      </c>
      <c r="J992" t="s">
        <v>78</v>
      </c>
      <c r="K992" t="s">
        <v>62</v>
      </c>
      <c r="L992" t="s">
        <v>355</v>
      </c>
      <c r="M992" t="s">
        <v>106</v>
      </c>
      <c r="N992" t="s">
        <v>107</v>
      </c>
    </row>
    <row r="993" spans="1:14" x14ac:dyDescent="0.2">
      <c r="A993">
        <v>1359516</v>
      </c>
      <c r="B993">
        <f>YEAR(#REF!)</f>
        <v>2023</v>
      </c>
      <c r="C993" t="s">
        <v>515</v>
      </c>
      <c r="D993" s="1">
        <v>45046</v>
      </c>
      <c r="E993" t="s">
        <v>14</v>
      </c>
      <c r="F993" t="s">
        <v>24</v>
      </c>
      <c r="H993" t="s">
        <v>14</v>
      </c>
      <c r="I993" t="s">
        <v>77</v>
      </c>
      <c r="J993" t="s">
        <v>78</v>
      </c>
      <c r="K993" t="s">
        <v>24</v>
      </c>
      <c r="L993" t="s">
        <v>284</v>
      </c>
      <c r="M993" t="s">
        <v>91</v>
      </c>
      <c r="N993" t="s">
        <v>92</v>
      </c>
    </row>
    <row r="994" spans="1:14" x14ac:dyDescent="0.2">
      <c r="A994">
        <v>1359517</v>
      </c>
      <c r="B994">
        <f>YEAR(#REF!)</f>
        <v>2023</v>
      </c>
      <c r="C994" t="s">
        <v>515</v>
      </c>
      <c r="D994" s="1">
        <v>45047</v>
      </c>
      <c r="E994" t="s">
        <v>20</v>
      </c>
      <c r="F994" t="s">
        <v>117</v>
      </c>
      <c r="H994" t="s">
        <v>20</v>
      </c>
      <c r="I994" t="s">
        <v>77</v>
      </c>
      <c r="J994" t="s">
        <v>78</v>
      </c>
      <c r="K994" t="s">
        <v>20</v>
      </c>
      <c r="L994" t="s">
        <v>189</v>
      </c>
      <c r="M994" t="s">
        <v>155</v>
      </c>
      <c r="N994" t="s">
        <v>156</v>
      </c>
    </row>
    <row r="995" spans="1:14" x14ac:dyDescent="0.2">
      <c r="A995">
        <v>1359518</v>
      </c>
      <c r="B995">
        <f>YEAR(#REF!)</f>
        <v>2023</v>
      </c>
      <c r="C995" t="s">
        <v>515</v>
      </c>
      <c r="D995" s="1">
        <v>45048</v>
      </c>
      <c r="E995" t="s">
        <v>49</v>
      </c>
      <c r="F995" t="s">
        <v>55</v>
      </c>
      <c r="H995" t="s">
        <v>49</v>
      </c>
      <c r="I995" t="s">
        <v>77</v>
      </c>
      <c r="J995" t="s">
        <v>78</v>
      </c>
      <c r="K995" t="s">
        <v>49</v>
      </c>
      <c r="L995" t="s">
        <v>60</v>
      </c>
      <c r="M995" t="s">
        <v>129</v>
      </c>
      <c r="N995" t="s">
        <v>130</v>
      </c>
    </row>
    <row r="996" spans="1:14" x14ac:dyDescent="0.2">
      <c r="A996">
        <v>1359519</v>
      </c>
      <c r="B996">
        <f>YEAR(#REF!)</f>
        <v>2023</v>
      </c>
      <c r="C996" t="s">
        <v>515</v>
      </c>
      <c r="D996" s="1">
        <v>45049</v>
      </c>
      <c r="E996" t="s">
        <v>117</v>
      </c>
      <c r="F996" t="s">
        <v>15</v>
      </c>
      <c r="H996" t="s">
        <v>15</v>
      </c>
      <c r="I996" t="s">
        <v>89</v>
      </c>
      <c r="J996" t="s">
        <v>180</v>
      </c>
      <c r="K996" t="s">
        <v>79</v>
      </c>
      <c r="L996" t="s">
        <v>181</v>
      </c>
      <c r="M996" t="s">
        <v>155</v>
      </c>
      <c r="N996" t="s">
        <v>156</v>
      </c>
    </row>
    <row r="997" spans="1:14" x14ac:dyDescent="0.2">
      <c r="A997">
        <v>1359520</v>
      </c>
      <c r="B997">
        <f>YEAR(#REF!)</f>
        <v>2023</v>
      </c>
      <c r="C997" t="s">
        <v>515</v>
      </c>
      <c r="D997" s="1">
        <v>45049</v>
      </c>
      <c r="E997" t="s">
        <v>62</v>
      </c>
      <c r="F997" t="s">
        <v>24</v>
      </c>
      <c r="H997" t="s">
        <v>24</v>
      </c>
      <c r="I997" t="s">
        <v>89</v>
      </c>
      <c r="J997" t="s">
        <v>78</v>
      </c>
      <c r="K997" t="s">
        <v>24</v>
      </c>
      <c r="L997" t="s">
        <v>213</v>
      </c>
      <c r="M997" t="s">
        <v>171</v>
      </c>
      <c r="N997" t="s">
        <v>95</v>
      </c>
    </row>
    <row r="998" spans="1:14" x14ac:dyDescent="0.2">
      <c r="A998">
        <v>1359521</v>
      </c>
      <c r="B998">
        <f>YEAR(#REF!)</f>
        <v>2023</v>
      </c>
      <c r="C998" t="s">
        <v>515</v>
      </c>
      <c r="D998" s="1">
        <v>45050</v>
      </c>
      <c r="E998" t="s">
        <v>29</v>
      </c>
      <c r="F998" t="s">
        <v>39</v>
      </c>
      <c r="H998" t="s">
        <v>29</v>
      </c>
      <c r="I998" t="s">
        <v>77</v>
      </c>
      <c r="J998" t="s">
        <v>78</v>
      </c>
      <c r="K998" t="s">
        <v>29</v>
      </c>
      <c r="L998" t="s">
        <v>244</v>
      </c>
      <c r="M998" t="s">
        <v>235</v>
      </c>
      <c r="N998" t="s">
        <v>145</v>
      </c>
    </row>
    <row r="999" spans="1:14" x14ac:dyDescent="0.2">
      <c r="A999">
        <v>1359522</v>
      </c>
      <c r="B999">
        <f>YEAR(#REF!)</f>
        <v>2023</v>
      </c>
      <c r="C999" t="s">
        <v>515</v>
      </c>
      <c r="D999" s="1">
        <v>45051</v>
      </c>
      <c r="E999" t="s">
        <v>14</v>
      </c>
      <c r="F999" t="s">
        <v>55</v>
      </c>
      <c r="H999" t="s">
        <v>14</v>
      </c>
      <c r="I999" t="s">
        <v>77</v>
      </c>
      <c r="J999" t="s">
        <v>78</v>
      </c>
      <c r="K999" t="s">
        <v>55</v>
      </c>
      <c r="L999" t="s">
        <v>296</v>
      </c>
      <c r="M999" t="s">
        <v>84</v>
      </c>
      <c r="N999" t="s">
        <v>85</v>
      </c>
    </row>
    <row r="1000" spans="1:14" x14ac:dyDescent="0.2">
      <c r="A1000">
        <v>1359524</v>
      </c>
      <c r="B1000">
        <f>YEAR(#REF!)</f>
        <v>2023</v>
      </c>
      <c r="C1000" t="s">
        <v>515</v>
      </c>
      <c r="D1000" s="1">
        <v>45052</v>
      </c>
      <c r="E1000" t="s">
        <v>20</v>
      </c>
      <c r="F1000" t="s">
        <v>49</v>
      </c>
      <c r="H1000" t="s">
        <v>20</v>
      </c>
      <c r="I1000" t="s">
        <v>77</v>
      </c>
      <c r="J1000" t="s">
        <v>78</v>
      </c>
      <c r="K1000" t="s">
        <v>49</v>
      </c>
      <c r="L1000" t="s">
        <v>309</v>
      </c>
      <c r="M1000" t="s">
        <v>149</v>
      </c>
      <c r="N1000" t="s">
        <v>88</v>
      </c>
    </row>
    <row r="1001" spans="1:14" x14ac:dyDescent="0.2">
      <c r="A1001">
        <v>1359523</v>
      </c>
      <c r="B1001">
        <f>YEAR(#REF!)</f>
        <v>2023</v>
      </c>
      <c r="C1001" t="s">
        <v>515</v>
      </c>
      <c r="D1001" s="1">
        <v>45052</v>
      </c>
      <c r="E1001" t="s">
        <v>24</v>
      </c>
      <c r="F1001" t="s">
        <v>15</v>
      </c>
      <c r="H1001" t="s">
        <v>15</v>
      </c>
      <c r="I1001" t="s">
        <v>89</v>
      </c>
      <c r="J1001" t="s">
        <v>78</v>
      </c>
      <c r="K1001" t="s">
        <v>15</v>
      </c>
      <c r="L1001" t="s">
        <v>377</v>
      </c>
      <c r="M1001" t="s">
        <v>106</v>
      </c>
      <c r="N1001" t="s">
        <v>107</v>
      </c>
    </row>
    <row r="1002" spans="1:14" x14ac:dyDescent="0.2">
      <c r="A1002">
        <v>1359526</v>
      </c>
      <c r="B1002">
        <f>YEAR(#REF!)</f>
        <v>2023</v>
      </c>
      <c r="C1002" t="s">
        <v>515</v>
      </c>
      <c r="D1002" s="1">
        <v>45053</v>
      </c>
      <c r="E1002" t="s">
        <v>14</v>
      </c>
      <c r="F1002" t="s">
        <v>39</v>
      </c>
      <c r="H1002" t="s">
        <v>14</v>
      </c>
      <c r="I1002" t="s">
        <v>77</v>
      </c>
      <c r="J1002" t="s">
        <v>78</v>
      </c>
      <c r="K1002" t="s">
        <v>39</v>
      </c>
      <c r="L1002" t="s">
        <v>421</v>
      </c>
      <c r="M1002" t="s">
        <v>84</v>
      </c>
      <c r="N1002" t="s">
        <v>85</v>
      </c>
    </row>
    <row r="1003" spans="1:14" x14ac:dyDescent="0.2">
      <c r="A1003">
        <v>1359525</v>
      </c>
      <c r="B1003">
        <f>YEAR(#REF!)</f>
        <v>2023</v>
      </c>
      <c r="C1003" t="s">
        <v>515</v>
      </c>
      <c r="D1003" s="1">
        <v>45053</v>
      </c>
      <c r="E1003" t="s">
        <v>55</v>
      </c>
      <c r="F1003" t="s">
        <v>117</v>
      </c>
      <c r="H1003" t="s">
        <v>117</v>
      </c>
      <c r="I1003" t="s">
        <v>89</v>
      </c>
      <c r="J1003" t="s">
        <v>78</v>
      </c>
      <c r="K1003" t="s">
        <v>55</v>
      </c>
      <c r="L1003" t="s">
        <v>59</v>
      </c>
      <c r="M1003" t="s">
        <v>129</v>
      </c>
      <c r="N1003" t="s">
        <v>130</v>
      </c>
    </row>
    <row r="1004" spans="1:14" x14ac:dyDescent="0.2">
      <c r="A1004">
        <v>1359527</v>
      </c>
      <c r="B1004">
        <f>YEAR(#REF!)</f>
        <v>2023</v>
      </c>
      <c r="C1004" t="s">
        <v>515</v>
      </c>
      <c r="D1004" s="1">
        <v>45054</v>
      </c>
      <c r="E1004" t="s">
        <v>62</v>
      </c>
      <c r="F1004" t="s">
        <v>29</v>
      </c>
      <c r="H1004" t="s">
        <v>62</v>
      </c>
      <c r="I1004" t="s">
        <v>77</v>
      </c>
      <c r="J1004" t="s">
        <v>78</v>
      </c>
      <c r="K1004" t="s">
        <v>29</v>
      </c>
      <c r="L1004" t="s">
        <v>140</v>
      </c>
      <c r="M1004" t="s">
        <v>227</v>
      </c>
      <c r="N1004" t="s">
        <v>135</v>
      </c>
    </row>
    <row r="1005" spans="1:14" x14ac:dyDescent="0.2">
      <c r="A1005">
        <v>1359528</v>
      </c>
      <c r="B1005">
        <f>YEAR(#REF!)</f>
        <v>2023</v>
      </c>
      <c r="C1005" t="s">
        <v>515</v>
      </c>
      <c r="D1005" s="1">
        <v>45055</v>
      </c>
      <c r="E1005" t="s">
        <v>20</v>
      </c>
      <c r="F1005" t="s">
        <v>24</v>
      </c>
      <c r="H1005" t="s">
        <v>24</v>
      </c>
      <c r="I1005" t="s">
        <v>89</v>
      </c>
      <c r="J1005" t="s">
        <v>78</v>
      </c>
      <c r="K1005" t="s">
        <v>24</v>
      </c>
      <c r="L1005" t="s">
        <v>287</v>
      </c>
      <c r="M1005" t="s">
        <v>91</v>
      </c>
      <c r="N1005" t="s">
        <v>92</v>
      </c>
    </row>
    <row r="1006" spans="1:14" x14ac:dyDescent="0.2">
      <c r="A1006">
        <v>1359529</v>
      </c>
      <c r="B1006">
        <f>YEAR(#REF!)</f>
        <v>2023</v>
      </c>
      <c r="C1006" t="s">
        <v>515</v>
      </c>
      <c r="D1006" s="1">
        <v>45056</v>
      </c>
      <c r="E1006" t="s">
        <v>15</v>
      </c>
      <c r="F1006" t="s">
        <v>49</v>
      </c>
      <c r="H1006" t="s">
        <v>15</v>
      </c>
      <c r="I1006" t="s">
        <v>77</v>
      </c>
      <c r="J1006" t="s">
        <v>78</v>
      </c>
      <c r="K1006" t="s">
        <v>15</v>
      </c>
      <c r="L1006" t="s">
        <v>179</v>
      </c>
      <c r="M1006" t="s">
        <v>106</v>
      </c>
      <c r="N1006" t="s">
        <v>107</v>
      </c>
    </row>
    <row r="1007" spans="1:14" x14ac:dyDescent="0.2">
      <c r="A1007">
        <v>1359530</v>
      </c>
      <c r="B1007">
        <f>YEAR(#REF!)</f>
        <v>2023</v>
      </c>
      <c r="C1007" t="s">
        <v>515</v>
      </c>
      <c r="D1007" s="1">
        <v>45057</v>
      </c>
      <c r="E1007" t="s">
        <v>29</v>
      </c>
      <c r="F1007" t="s">
        <v>14</v>
      </c>
      <c r="H1007" t="s">
        <v>14</v>
      </c>
      <c r="I1007" t="s">
        <v>89</v>
      </c>
      <c r="J1007" t="s">
        <v>78</v>
      </c>
      <c r="K1007" t="s">
        <v>14</v>
      </c>
      <c r="L1007" t="s">
        <v>284</v>
      </c>
      <c r="M1007" t="s">
        <v>227</v>
      </c>
      <c r="N1007" t="s">
        <v>135</v>
      </c>
    </row>
    <row r="1008" spans="1:14" x14ac:dyDescent="0.2">
      <c r="A1008">
        <v>1359531</v>
      </c>
      <c r="B1008">
        <f>YEAR(#REF!)</f>
        <v>2023</v>
      </c>
      <c r="C1008" t="s">
        <v>515</v>
      </c>
      <c r="D1008" s="1">
        <v>45058</v>
      </c>
      <c r="E1008" t="s">
        <v>24</v>
      </c>
      <c r="F1008" t="s">
        <v>55</v>
      </c>
      <c r="H1008" t="s">
        <v>55</v>
      </c>
      <c r="I1008" t="s">
        <v>89</v>
      </c>
      <c r="J1008" t="s">
        <v>78</v>
      </c>
      <c r="K1008" t="s">
        <v>24</v>
      </c>
      <c r="L1008" t="s">
        <v>287</v>
      </c>
      <c r="M1008" t="s">
        <v>91</v>
      </c>
      <c r="N1008" t="s">
        <v>92</v>
      </c>
    </row>
    <row r="1009" spans="1:14" x14ac:dyDescent="0.2">
      <c r="A1009">
        <v>1359532</v>
      </c>
      <c r="B1009">
        <f>YEAR(#REF!)</f>
        <v>2023</v>
      </c>
      <c r="C1009" t="s">
        <v>515</v>
      </c>
      <c r="D1009" s="1">
        <v>45059</v>
      </c>
      <c r="E1009" t="s">
        <v>39</v>
      </c>
      <c r="F1009" t="s">
        <v>117</v>
      </c>
      <c r="H1009" t="s">
        <v>39</v>
      </c>
      <c r="I1009" t="s">
        <v>77</v>
      </c>
      <c r="J1009" t="s">
        <v>78</v>
      </c>
      <c r="K1009" t="s">
        <v>117</v>
      </c>
      <c r="L1009" t="s">
        <v>280</v>
      </c>
      <c r="M1009" t="s">
        <v>235</v>
      </c>
      <c r="N1009" t="s">
        <v>145</v>
      </c>
    </row>
    <row r="1010" spans="1:14" x14ac:dyDescent="0.2">
      <c r="A1010">
        <v>1359533</v>
      </c>
      <c r="B1010">
        <f>YEAR(#REF!)</f>
        <v>2023</v>
      </c>
      <c r="C1010" t="s">
        <v>515</v>
      </c>
      <c r="D1010" s="1">
        <v>45059</v>
      </c>
      <c r="E1010" t="s">
        <v>62</v>
      </c>
      <c r="F1010" t="s">
        <v>49</v>
      </c>
      <c r="H1010" t="s">
        <v>49</v>
      </c>
      <c r="I1010" t="s">
        <v>89</v>
      </c>
      <c r="J1010" t="s">
        <v>78</v>
      </c>
      <c r="K1010" t="s">
        <v>62</v>
      </c>
      <c r="L1010" t="s">
        <v>275</v>
      </c>
      <c r="M1010" t="s">
        <v>149</v>
      </c>
      <c r="N1010" t="s">
        <v>88</v>
      </c>
    </row>
    <row r="1011" spans="1:14" x14ac:dyDescent="0.2">
      <c r="A1011">
        <v>1359535</v>
      </c>
      <c r="B1011">
        <f>YEAR(#REF!)</f>
        <v>2023</v>
      </c>
      <c r="C1011" t="s">
        <v>515</v>
      </c>
      <c r="D1011" s="1">
        <v>45060</v>
      </c>
      <c r="E1011" t="s">
        <v>15</v>
      </c>
      <c r="F1011" t="s">
        <v>29</v>
      </c>
      <c r="H1011" t="s">
        <v>15</v>
      </c>
      <c r="I1011" t="s">
        <v>77</v>
      </c>
      <c r="J1011" t="s">
        <v>78</v>
      </c>
      <c r="K1011" t="s">
        <v>29</v>
      </c>
      <c r="L1011" t="s">
        <v>318</v>
      </c>
      <c r="M1011" t="s">
        <v>106</v>
      </c>
      <c r="N1011" t="s">
        <v>107</v>
      </c>
    </row>
    <row r="1012" spans="1:14" x14ac:dyDescent="0.2">
      <c r="A1012">
        <v>1359534</v>
      </c>
      <c r="B1012">
        <f>YEAR(#REF!)</f>
        <v>2023</v>
      </c>
      <c r="C1012" t="s">
        <v>515</v>
      </c>
      <c r="D1012" s="1">
        <v>45060</v>
      </c>
      <c r="E1012" t="s">
        <v>20</v>
      </c>
      <c r="F1012" t="s">
        <v>14</v>
      </c>
      <c r="H1012" t="s">
        <v>20</v>
      </c>
      <c r="I1012" t="s">
        <v>77</v>
      </c>
      <c r="J1012" t="s">
        <v>78</v>
      </c>
      <c r="K1012" t="s">
        <v>20</v>
      </c>
      <c r="L1012" t="s">
        <v>464</v>
      </c>
      <c r="M1012" t="s">
        <v>84</v>
      </c>
      <c r="N1012" t="s">
        <v>85</v>
      </c>
    </row>
    <row r="1013" spans="1:14" x14ac:dyDescent="0.2">
      <c r="A1013">
        <v>1359536</v>
      </c>
      <c r="B1013">
        <f>YEAR(#REF!)</f>
        <v>2023</v>
      </c>
      <c r="C1013" t="s">
        <v>515</v>
      </c>
      <c r="D1013" s="1">
        <v>45061</v>
      </c>
      <c r="E1013" t="s">
        <v>55</v>
      </c>
      <c r="F1013" t="s">
        <v>39</v>
      </c>
      <c r="H1013" t="s">
        <v>39</v>
      </c>
      <c r="I1013" t="s">
        <v>89</v>
      </c>
      <c r="J1013" t="s">
        <v>78</v>
      </c>
      <c r="K1013" t="s">
        <v>55</v>
      </c>
      <c r="L1013" t="s">
        <v>59</v>
      </c>
      <c r="M1013" t="s">
        <v>129</v>
      </c>
      <c r="N1013" t="s">
        <v>130</v>
      </c>
    </row>
    <row r="1014" spans="1:14" x14ac:dyDescent="0.2">
      <c r="A1014">
        <v>1359537</v>
      </c>
      <c r="B1014">
        <f>YEAR(#REF!)</f>
        <v>2023</v>
      </c>
      <c r="C1014" t="s">
        <v>515</v>
      </c>
      <c r="D1014" s="1">
        <v>45062</v>
      </c>
      <c r="E1014" t="s">
        <v>117</v>
      </c>
      <c r="F1014" t="s">
        <v>24</v>
      </c>
      <c r="H1014" t="s">
        <v>24</v>
      </c>
      <c r="I1014" t="s">
        <v>89</v>
      </c>
      <c r="J1014" t="s">
        <v>78</v>
      </c>
      <c r="K1014" t="s">
        <v>117</v>
      </c>
      <c r="L1014" t="s">
        <v>245</v>
      </c>
      <c r="M1014" t="s">
        <v>155</v>
      </c>
      <c r="N1014" t="s">
        <v>156</v>
      </c>
    </row>
    <row r="1015" spans="1:14" x14ac:dyDescent="0.2">
      <c r="A1015">
        <v>1359538</v>
      </c>
      <c r="B1015">
        <f>YEAR(#REF!)</f>
        <v>2023</v>
      </c>
      <c r="C1015" t="s">
        <v>515</v>
      </c>
      <c r="D1015" s="1">
        <v>45063</v>
      </c>
      <c r="E1015" t="s">
        <v>49</v>
      </c>
      <c r="F1015" t="s">
        <v>62</v>
      </c>
      <c r="H1015" t="s">
        <v>62</v>
      </c>
      <c r="I1015" t="s">
        <v>89</v>
      </c>
      <c r="J1015" t="s">
        <v>78</v>
      </c>
      <c r="K1015" t="s">
        <v>49</v>
      </c>
      <c r="L1015" t="s">
        <v>316</v>
      </c>
      <c r="M1015" t="s">
        <v>317</v>
      </c>
      <c r="N1015" t="s">
        <v>176</v>
      </c>
    </row>
    <row r="1016" spans="1:14" x14ac:dyDescent="0.2">
      <c r="A1016">
        <v>1359539</v>
      </c>
      <c r="B1016">
        <f>YEAR(#REF!)</f>
        <v>2023</v>
      </c>
      <c r="C1016" t="s">
        <v>515</v>
      </c>
      <c r="D1016" s="1">
        <v>45064</v>
      </c>
      <c r="E1016" t="s">
        <v>39</v>
      </c>
      <c r="F1016" t="s">
        <v>20</v>
      </c>
      <c r="H1016" t="s">
        <v>20</v>
      </c>
      <c r="I1016" t="s">
        <v>89</v>
      </c>
      <c r="J1016" t="s">
        <v>78</v>
      </c>
      <c r="K1016" t="s">
        <v>20</v>
      </c>
      <c r="L1016" t="s">
        <v>257</v>
      </c>
      <c r="M1016" t="s">
        <v>235</v>
      </c>
      <c r="N1016" t="s">
        <v>145</v>
      </c>
    </row>
    <row r="1017" spans="1:14" x14ac:dyDescent="0.2">
      <c r="A1017">
        <v>1359540</v>
      </c>
      <c r="B1017">
        <f>YEAR(#REF!)</f>
        <v>2023</v>
      </c>
      <c r="C1017" t="s">
        <v>515</v>
      </c>
      <c r="D1017" s="1">
        <v>45065</v>
      </c>
      <c r="E1017" t="s">
        <v>62</v>
      </c>
      <c r="F1017" t="s">
        <v>14</v>
      </c>
      <c r="H1017" t="s">
        <v>14</v>
      </c>
      <c r="I1017" t="s">
        <v>89</v>
      </c>
      <c r="J1017" t="s">
        <v>78</v>
      </c>
      <c r="K1017" t="s">
        <v>14</v>
      </c>
      <c r="L1017" t="s">
        <v>458</v>
      </c>
      <c r="M1017" t="s">
        <v>317</v>
      </c>
      <c r="N1017" t="s">
        <v>176</v>
      </c>
    </row>
    <row r="1018" spans="1:14" x14ac:dyDescent="0.2">
      <c r="A1018">
        <v>1359541</v>
      </c>
      <c r="B1018">
        <f>YEAR(#REF!)</f>
        <v>2023</v>
      </c>
      <c r="C1018" t="s">
        <v>515</v>
      </c>
      <c r="D1018" s="1">
        <v>45066</v>
      </c>
      <c r="E1018" t="s">
        <v>15</v>
      </c>
      <c r="F1018" t="s">
        <v>49</v>
      </c>
      <c r="H1018" t="s">
        <v>15</v>
      </c>
      <c r="I1018" t="s">
        <v>77</v>
      </c>
      <c r="J1018" t="s">
        <v>78</v>
      </c>
      <c r="K1018" t="s">
        <v>15</v>
      </c>
      <c r="L1018" t="s">
        <v>178</v>
      </c>
      <c r="M1018" t="s">
        <v>149</v>
      </c>
      <c r="N1018" t="s">
        <v>88</v>
      </c>
    </row>
    <row r="1019" spans="1:14" x14ac:dyDescent="0.2">
      <c r="A1019">
        <v>1359542</v>
      </c>
      <c r="B1019">
        <f>YEAR(#REF!)</f>
        <v>2023</v>
      </c>
      <c r="C1019" t="s">
        <v>515</v>
      </c>
      <c r="D1019" s="1">
        <v>45066</v>
      </c>
      <c r="E1019" t="s">
        <v>117</v>
      </c>
      <c r="F1019" t="s">
        <v>29</v>
      </c>
      <c r="H1019" t="s">
        <v>29</v>
      </c>
      <c r="I1019" t="s">
        <v>89</v>
      </c>
      <c r="J1019" t="s">
        <v>78</v>
      </c>
      <c r="K1019" t="s">
        <v>117</v>
      </c>
      <c r="L1019" t="s">
        <v>241</v>
      </c>
      <c r="M1019" t="s">
        <v>227</v>
      </c>
      <c r="N1019" t="s">
        <v>135</v>
      </c>
    </row>
    <row r="1020" spans="1:14" x14ac:dyDescent="0.2">
      <c r="A1020">
        <v>1359543</v>
      </c>
      <c r="B1020">
        <f>YEAR(#REF!)</f>
        <v>2023</v>
      </c>
      <c r="C1020" t="s">
        <v>515</v>
      </c>
      <c r="D1020" s="1">
        <v>45067</v>
      </c>
      <c r="E1020" t="s">
        <v>39</v>
      </c>
      <c r="F1020" t="s">
        <v>24</v>
      </c>
      <c r="H1020" t="s">
        <v>24</v>
      </c>
      <c r="I1020" t="s">
        <v>89</v>
      </c>
      <c r="J1020" t="s">
        <v>78</v>
      </c>
      <c r="K1020" t="s">
        <v>24</v>
      </c>
      <c r="L1020" t="s">
        <v>261</v>
      </c>
      <c r="M1020" t="s">
        <v>91</v>
      </c>
      <c r="N1020" t="s">
        <v>92</v>
      </c>
    </row>
    <row r="1021" spans="1:14" x14ac:dyDescent="0.2">
      <c r="A1021">
        <v>1359544</v>
      </c>
      <c r="B1021">
        <f>YEAR(#REF!)</f>
        <v>2023</v>
      </c>
      <c r="C1021" t="s">
        <v>515</v>
      </c>
      <c r="D1021" s="1">
        <v>45067</v>
      </c>
      <c r="E1021" t="s">
        <v>20</v>
      </c>
      <c r="F1021" t="s">
        <v>55</v>
      </c>
      <c r="H1021" t="s">
        <v>55</v>
      </c>
      <c r="I1021" t="s">
        <v>89</v>
      </c>
      <c r="J1021" t="s">
        <v>78</v>
      </c>
      <c r="K1021" t="s">
        <v>55</v>
      </c>
      <c r="L1021" t="s">
        <v>59</v>
      </c>
      <c r="M1021" t="s">
        <v>242</v>
      </c>
      <c r="N1021" t="s">
        <v>243</v>
      </c>
    </row>
    <row r="1022" spans="1:14" x14ac:dyDescent="0.2">
      <c r="A1022">
        <v>1370350</v>
      </c>
      <c r="B1022">
        <f>YEAR(#REF!)</f>
        <v>2023</v>
      </c>
      <c r="C1022" t="s">
        <v>515</v>
      </c>
      <c r="D1022" s="1">
        <v>45069</v>
      </c>
      <c r="E1022" t="s">
        <v>15</v>
      </c>
      <c r="F1022" t="s">
        <v>55</v>
      </c>
      <c r="H1022" t="s">
        <v>55</v>
      </c>
      <c r="I1022" t="s">
        <v>89</v>
      </c>
      <c r="J1022" t="s">
        <v>78</v>
      </c>
      <c r="K1022" t="s">
        <v>15</v>
      </c>
      <c r="L1022" t="s">
        <v>178</v>
      </c>
      <c r="M1022" t="s">
        <v>106</v>
      </c>
      <c r="N1022" t="s">
        <v>107</v>
      </c>
    </row>
    <row r="1023" spans="1:14" x14ac:dyDescent="0.2">
      <c r="A1023">
        <v>1370351</v>
      </c>
      <c r="B1023">
        <f>YEAR(#REF!)</f>
        <v>2023</v>
      </c>
      <c r="C1023" t="s">
        <v>515</v>
      </c>
      <c r="D1023" s="1">
        <v>45070</v>
      </c>
      <c r="E1023" t="s">
        <v>24</v>
      </c>
      <c r="F1023" t="s">
        <v>117</v>
      </c>
      <c r="H1023" t="s">
        <v>24</v>
      </c>
      <c r="I1023" t="s">
        <v>77</v>
      </c>
      <c r="J1023" t="s">
        <v>78</v>
      </c>
      <c r="K1023" t="s">
        <v>24</v>
      </c>
      <c r="L1023" t="s">
        <v>402</v>
      </c>
      <c r="M1023" t="s">
        <v>106</v>
      </c>
      <c r="N1023" t="s">
        <v>107</v>
      </c>
    </row>
    <row r="1024" spans="1:14" x14ac:dyDescent="0.2">
      <c r="A1024">
        <v>1370352</v>
      </c>
      <c r="B1024">
        <f>YEAR(#REF!)</f>
        <v>2023</v>
      </c>
      <c r="C1024" t="s">
        <v>515</v>
      </c>
      <c r="D1024" s="1">
        <v>45072</v>
      </c>
      <c r="E1024" t="s">
        <v>55</v>
      </c>
      <c r="F1024" t="s">
        <v>24</v>
      </c>
      <c r="H1024" t="s">
        <v>24</v>
      </c>
      <c r="I1024" t="s">
        <v>89</v>
      </c>
      <c r="J1024" t="s">
        <v>78</v>
      </c>
      <c r="K1024" t="s">
        <v>55</v>
      </c>
      <c r="L1024" t="s">
        <v>59</v>
      </c>
      <c r="M1024" t="s">
        <v>129</v>
      </c>
      <c r="N1024" t="s">
        <v>130</v>
      </c>
    </row>
    <row r="1025" spans="1:14" x14ac:dyDescent="0.2">
      <c r="A1025">
        <v>1370353</v>
      </c>
      <c r="B1025">
        <f>YEAR(#REF!)</f>
        <v>2023</v>
      </c>
      <c r="C1025" t="s">
        <v>515</v>
      </c>
      <c r="D1025" s="1">
        <v>45075</v>
      </c>
      <c r="E1025" t="s">
        <v>55</v>
      </c>
      <c r="F1025" t="s">
        <v>15</v>
      </c>
      <c r="H1025" t="s">
        <v>15</v>
      </c>
      <c r="I1025" t="s">
        <v>89</v>
      </c>
      <c r="J1025" t="s">
        <v>78</v>
      </c>
      <c r="K1025" t="s">
        <v>15</v>
      </c>
      <c r="L1025" t="s">
        <v>355</v>
      </c>
      <c r="M1025" t="s">
        <v>129</v>
      </c>
      <c r="N1025" t="s">
        <v>130</v>
      </c>
    </row>
    <row r="1026" spans="1:14" x14ac:dyDescent="0.2">
      <c r="A1026">
        <v>1422119</v>
      </c>
      <c r="B1026">
        <f>YEAR(#REF!)</f>
        <v>2024</v>
      </c>
      <c r="C1026" t="s">
        <v>516</v>
      </c>
      <c r="D1026" s="1">
        <v>45373</v>
      </c>
      <c r="E1026" t="s">
        <v>61</v>
      </c>
      <c r="F1026" t="s">
        <v>15</v>
      </c>
      <c r="H1026" t="s">
        <v>61</v>
      </c>
      <c r="I1026" t="s">
        <v>77</v>
      </c>
      <c r="J1026" t="s">
        <v>78</v>
      </c>
      <c r="K1026" t="s">
        <v>15</v>
      </c>
      <c r="L1026" t="s">
        <v>396</v>
      </c>
      <c r="M1026" t="s">
        <v>106</v>
      </c>
      <c r="N1026" t="s">
        <v>107</v>
      </c>
    </row>
    <row r="1027" spans="1:14" x14ac:dyDescent="0.2">
      <c r="A1027">
        <v>1422120</v>
      </c>
      <c r="B1027">
        <f>YEAR(#REF!)</f>
        <v>2024</v>
      </c>
      <c r="C1027" t="s">
        <v>516</v>
      </c>
      <c r="D1027" s="1">
        <v>45374</v>
      </c>
      <c r="E1027" t="s">
        <v>49</v>
      </c>
      <c r="F1027" t="s">
        <v>62</v>
      </c>
      <c r="H1027" t="s">
        <v>62</v>
      </c>
      <c r="I1027" t="s">
        <v>89</v>
      </c>
      <c r="J1027" t="s">
        <v>78</v>
      </c>
      <c r="K1027" t="s">
        <v>62</v>
      </c>
      <c r="L1027" t="s">
        <v>206</v>
      </c>
      <c r="M1027" t="s">
        <v>109</v>
      </c>
      <c r="N1027" t="s">
        <v>110</v>
      </c>
    </row>
    <row r="1028" spans="1:14" x14ac:dyDescent="0.2">
      <c r="A1028">
        <v>1422121</v>
      </c>
      <c r="B1028">
        <f>YEAR(#REF!)</f>
        <v>2024</v>
      </c>
      <c r="C1028" t="s">
        <v>516</v>
      </c>
      <c r="D1028" s="1">
        <v>45374</v>
      </c>
      <c r="E1028" t="s">
        <v>29</v>
      </c>
      <c r="F1028" t="s">
        <v>39</v>
      </c>
      <c r="H1028" t="s">
        <v>39</v>
      </c>
      <c r="I1028" t="s">
        <v>89</v>
      </c>
      <c r="J1028" t="s">
        <v>78</v>
      </c>
      <c r="K1028" t="s">
        <v>29</v>
      </c>
      <c r="L1028" t="s">
        <v>140</v>
      </c>
      <c r="M1028" t="s">
        <v>227</v>
      </c>
      <c r="N1028" t="s">
        <v>135</v>
      </c>
    </row>
    <row r="1029" spans="1:14" x14ac:dyDescent="0.2">
      <c r="A1029">
        <v>1422122</v>
      </c>
      <c r="B1029">
        <f>YEAR(#REF!)</f>
        <v>2024</v>
      </c>
      <c r="C1029" t="s">
        <v>516</v>
      </c>
      <c r="D1029" s="1">
        <v>45375</v>
      </c>
      <c r="E1029" t="s">
        <v>14</v>
      </c>
      <c r="F1029" t="s">
        <v>117</v>
      </c>
      <c r="H1029" t="s">
        <v>14</v>
      </c>
      <c r="I1029" t="s">
        <v>77</v>
      </c>
      <c r="J1029" t="s">
        <v>78</v>
      </c>
      <c r="K1029" t="s">
        <v>14</v>
      </c>
      <c r="L1029" t="s">
        <v>187</v>
      </c>
      <c r="M1029" t="s">
        <v>84</v>
      </c>
      <c r="N1029" t="s">
        <v>85</v>
      </c>
    </row>
    <row r="1030" spans="1:14" x14ac:dyDescent="0.2">
      <c r="A1030">
        <v>1422123</v>
      </c>
      <c r="B1030">
        <f>YEAR(#REF!)</f>
        <v>2024</v>
      </c>
      <c r="C1030" t="s">
        <v>516</v>
      </c>
      <c r="D1030" s="1">
        <v>45375</v>
      </c>
      <c r="E1030" t="s">
        <v>55</v>
      </c>
      <c r="F1030" t="s">
        <v>24</v>
      </c>
      <c r="H1030" t="s">
        <v>24</v>
      </c>
      <c r="I1030" t="s">
        <v>89</v>
      </c>
      <c r="J1030" t="s">
        <v>78</v>
      </c>
      <c r="K1030" t="s">
        <v>55</v>
      </c>
      <c r="L1030" t="s">
        <v>63</v>
      </c>
      <c r="M1030" t="s">
        <v>129</v>
      </c>
      <c r="N1030" t="s">
        <v>130</v>
      </c>
    </row>
    <row r="1031" spans="1:14" x14ac:dyDescent="0.2">
      <c r="A1031">
        <v>1422124</v>
      </c>
      <c r="B1031">
        <f>YEAR(#REF!)</f>
        <v>2024</v>
      </c>
      <c r="C1031" t="s">
        <v>516</v>
      </c>
      <c r="D1031" s="1">
        <v>45376</v>
      </c>
      <c r="E1031" t="s">
        <v>62</v>
      </c>
      <c r="F1031" t="s">
        <v>61</v>
      </c>
      <c r="H1031" t="s">
        <v>61</v>
      </c>
      <c r="I1031" t="s">
        <v>89</v>
      </c>
      <c r="J1031" t="s">
        <v>78</v>
      </c>
      <c r="K1031" t="s">
        <v>61</v>
      </c>
      <c r="L1031" t="s">
        <v>257</v>
      </c>
      <c r="M1031" t="s">
        <v>242</v>
      </c>
      <c r="N1031" t="s">
        <v>243</v>
      </c>
    </row>
    <row r="1032" spans="1:14" x14ac:dyDescent="0.2">
      <c r="A1032">
        <v>1422125</v>
      </c>
      <c r="B1032">
        <f>YEAR(#REF!)</f>
        <v>2024</v>
      </c>
      <c r="C1032" t="s">
        <v>516</v>
      </c>
      <c r="D1032" s="1">
        <v>45377</v>
      </c>
      <c r="E1032" t="s">
        <v>15</v>
      </c>
      <c r="F1032" t="s">
        <v>55</v>
      </c>
      <c r="H1032" t="s">
        <v>55</v>
      </c>
      <c r="I1032" t="s">
        <v>89</v>
      </c>
      <c r="J1032" t="s">
        <v>78</v>
      </c>
      <c r="K1032" t="s">
        <v>15</v>
      </c>
      <c r="L1032" t="s">
        <v>353</v>
      </c>
      <c r="M1032" t="s">
        <v>106</v>
      </c>
      <c r="N1032" t="s">
        <v>107</v>
      </c>
    </row>
    <row r="1033" spans="1:14" x14ac:dyDescent="0.2">
      <c r="A1033">
        <v>1422126</v>
      </c>
      <c r="B1033">
        <f>YEAR(#REF!)</f>
        <v>2024</v>
      </c>
      <c r="C1033" t="s">
        <v>516</v>
      </c>
      <c r="D1033" s="1">
        <v>45378</v>
      </c>
      <c r="E1033" t="s">
        <v>39</v>
      </c>
      <c r="F1033" t="s">
        <v>24</v>
      </c>
      <c r="H1033" t="s">
        <v>24</v>
      </c>
      <c r="I1033" t="s">
        <v>89</v>
      </c>
      <c r="J1033" t="s">
        <v>78</v>
      </c>
      <c r="K1033" t="s">
        <v>39</v>
      </c>
      <c r="L1033" t="s">
        <v>234</v>
      </c>
      <c r="M1033" t="s">
        <v>235</v>
      </c>
      <c r="N1033" t="s">
        <v>145</v>
      </c>
    </row>
    <row r="1034" spans="1:14" x14ac:dyDescent="0.2">
      <c r="A1034">
        <v>1422127</v>
      </c>
      <c r="B1034">
        <f>YEAR(#REF!)</f>
        <v>2024</v>
      </c>
      <c r="C1034" t="s">
        <v>516</v>
      </c>
      <c r="D1034" s="1">
        <v>45379</v>
      </c>
      <c r="E1034" t="s">
        <v>14</v>
      </c>
      <c r="F1034" t="s">
        <v>49</v>
      </c>
      <c r="H1034" t="s">
        <v>49</v>
      </c>
      <c r="I1034" t="s">
        <v>89</v>
      </c>
      <c r="J1034" t="s">
        <v>78</v>
      </c>
      <c r="K1034" t="s">
        <v>14</v>
      </c>
      <c r="L1034" t="s">
        <v>485</v>
      </c>
      <c r="M1034" t="s">
        <v>84</v>
      </c>
      <c r="N1034" t="s">
        <v>85</v>
      </c>
    </row>
    <row r="1035" spans="1:14" x14ac:dyDescent="0.2">
      <c r="A1035">
        <v>1422128</v>
      </c>
      <c r="B1035">
        <f>YEAR(#REF!)</f>
        <v>2024</v>
      </c>
      <c r="C1035" t="s">
        <v>516</v>
      </c>
      <c r="D1035" s="1">
        <v>45380</v>
      </c>
      <c r="E1035" t="s">
        <v>61</v>
      </c>
      <c r="F1035" t="s">
        <v>29</v>
      </c>
      <c r="H1035" t="s">
        <v>29</v>
      </c>
      <c r="I1035" t="s">
        <v>89</v>
      </c>
      <c r="J1035" t="s">
        <v>78</v>
      </c>
      <c r="K1035" t="s">
        <v>29</v>
      </c>
      <c r="L1035" t="s">
        <v>133</v>
      </c>
      <c r="M1035" t="s">
        <v>242</v>
      </c>
      <c r="N1035" t="s">
        <v>243</v>
      </c>
    </row>
    <row r="1036" spans="1:14" x14ac:dyDescent="0.2">
      <c r="A1036">
        <v>1422129</v>
      </c>
      <c r="B1036">
        <f>YEAR(#REF!)</f>
        <v>2024</v>
      </c>
      <c r="C1036" t="s">
        <v>516</v>
      </c>
      <c r="D1036" s="1">
        <v>45381</v>
      </c>
      <c r="E1036" t="s">
        <v>117</v>
      </c>
      <c r="F1036" t="s">
        <v>62</v>
      </c>
      <c r="H1036" t="s">
        <v>117</v>
      </c>
      <c r="I1036" t="s">
        <v>77</v>
      </c>
      <c r="J1036" t="s">
        <v>78</v>
      </c>
      <c r="K1036" t="s">
        <v>117</v>
      </c>
      <c r="L1036" t="s">
        <v>306</v>
      </c>
      <c r="M1036" t="s">
        <v>155</v>
      </c>
      <c r="N1036" t="s">
        <v>156</v>
      </c>
    </row>
    <row r="1037" spans="1:14" x14ac:dyDescent="0.2">
      <c r="A1037">
        <v>1422130</v>
      </c>
      <c r="B1037">
        <f>YEAR(#REF!)</f>
        <v>2024</v>
      </c>
      <c r="C1037" t="s">
        <v>516</v>
      </c>
      <c r="D1037" s="1">
        <v>45382</v>
      </c>
      <c r="E1037" t="s">
        <v>39</v>
      </c>
      <c r="F1037" t="s">
        <v>55</v>
      </c>
      <c r="H1037" t="s">
        <v>39</v>
      </c>
      <c r="I1037" t="s">
        <v>77</v>
      </c>
      <c r="J1037" t="s">
        <v>78</v>
      </c>
      <c r="K1037" t="s">
        <v>55</v>
      </c>
      <c r="L1037" t="s">
        <v>313</v>
      </c>
      <c r="M1037" t="s">
        <v>129</v>
      </c>
      <c r="N1037" t="s">
        <v>130</v>
      </c>
    </row>
    <row r="1038" spans="1:14" x14ac:dyDescent="0.2">
      <c r="A1038">
        <v>1422131</v>
      </c>
      <c r="B1038">
        <f>YEAR(#REF!)</f>
        <v>2024</v>
      </c>
      <c r="C1038" t="s">
        <v>516</v>
      </c>
      <c r="D1038" s="1">
        <v>45382</v>
      </c>
      <c r="E1038" t="s">
        <v>49</v>
      </c>
      <c r="F1038" t="s">
        <v>15</v>
      </c>
      <c r="H1038" t="s">
        <v>49</v>
      </c>
      <c r="I1038" t="s">
        <v>77</v>
      </c>
      <c r="J1038" t="s">
        <v>78</v>
      </c>
      <c r="K1038" t="s">
        <v>49</v>
      </c>
      <c r="L1038" t="s">
        <v>395</v>
      </c>
      <c r="M1038" t="s">
        <v>404</v>
      </c>
      <c r="N1038" t="s">
        <v>127</v>
      </c>
    </row>
    <row r="1039" spans="1:14" x14ac:dyDescent="0.2">
      <c r="A1039">
        <v>1422132</v>
      </c>
      <c r="B1039">
        <f>YEAR(#REF!)</f>
        <v>2024</v>
      </c>
      <c r="C1039" t="s">
        <v>516</v>
      </c>
      <c r="D1039" s="1">
        <v>45383</v>
      </c>
      <c r="E1039" t="s">
        <v>24</v>
      </c>
      <c r="F1039" t="s">
        <v>14</v>
      </c>
      <c r="H1039" t="s">
        <v>14</v>
      </c>
      <c r="I1039" t="s">
        <v>89</v>
      </c>
      <c r="J1039" t="s">
        <v>78</v>
      </c>
      <c r="K1039" t="s">
        <v>14</v>
      </c>
      <c r="L1039" t="s">
        <v>207</v>
      </c>
      <c r="M1039" t="s">
        <v>91</v>
      </c>
      <c r="N1039" t="s">
        <v>92</v>
      </c>
    </row>
    <row r="1040" spans="1:14" x14ac:dyDescent="0.2">
      <c r="A1040">
        <v>1422133</v>
      </c>
      <c r="B1040">
        <f>YEAR(#REF!)</f>
        <v>2024</v>
      </c>
      <c r="C1040" t="s">
        <v>516</v>
      </c>
      <c r="D1040" s="1">
        <v>45384</v>
      </c>
      <c r="E1040" t="s">
        <v>117</v>
      </c>
      <c r="F1040" t="s">
        <v>61</v>
      </c>
      <c r="H1040" t="s">
        <v>61</v>
      </c>
      <c r="I1040" t="s">
        <v>89</v>
      </c>
      <c r="J1040" t="s">
        <v>78</v>
      </c>
      <c r="K1040" t="s">
        <v>117</v>
      </c>
      <c r="L1040" t="s">
        <v>306</v>
      </c>
      <c r="M1040" t="s">
        <v>242</v>
      </c>
      <c r="N1040" t="s">
        <v>243</v>
      </c>
    </row>
    <row r="1041" spans="1:14" x14ac:dyDescent="0.2">
      <c r="A1041">
        <v>1422134</v>
      </c>
      <c r="B1041">
        <f>YEAR(#REF!)</f>
        <v>2024</v>
      </c>
      <c r="C1041" t="s">
        <v>516</v>
      </c>
      <c r="D1041" s="1">
        <v>45385</v>
      </c>
      <c r="E1041" t="s">
        <v>29</v>
      </c>
      <c r="F1041" t="s">
        <v>49</v>
      </c>
      <c r="H1041" t="s">
        <v>29</v>
      </c>
      <c r="I1041" t="s">
        <v>77</v>
      </c>
      <c r="J1041" t="s">
        <v>78</v>
      </c>
      <c r="K1041" t="s">
        <v>29</v>
      </c>
      <c r="L1041" t="s">
        <v>133</v>
      </c>
      <c r="M1041" t="s">
        <v>404</v>
      </c>
      <c r="N1041" t="s">
        <v>127</v>
      </c>
    </row>
    <row r="1042" spans="1:14" x14ac:dyDescent="0.2">
      <c r="A1042">
        <v>1422135</v>
      </c>
      <c r="B1042">
        <f>YEAR(#REF!)</f>
        <v>2024</v>
      </c>
      <c r="C1042" t="s">
        <v>516</v>
      </c>
      <c r="D1042" s="1">
        <v>45386</v>
      </c>
      <c r="E1042" t="s">
        <v>55</v>
      </c>
      <c r="F1042" t="s">
        <v>62</v>
      </c>
      <c r="H1042" t="s">
        <v>62</v>
      </c>
      <c r="I1042" t="s">
        <v>89</v>
      </c>
      <c r="J1042" t="s">
        <v>78</v>
      </c>
      <c r="K1042" t="s">
        <v>62</v>
      </c>
      <c r="L1042" t="s">
        <v>250</v>
      </c>
      <c r="M1042" t="s">
        <v>129</v>
      </c>
      <c r="N1042" t="s">
        <v>130</v>
      </c>
    </row>
    <row r="1043" spans="1:14" x14ac:dyDescent="0.2">
      <c r="A1043">
        <v>1422136</v>
      </c>
      <c r="B1043">
        <f>YEAR(#REF!)</f>
        <v>2024</v>
      </c>
      <c r="C1043" t="s">
        <v>516</v>
      </c>
      <c r="D1043" s="1">
        <v>45387</v>
      </c>
      <c r="E1043" t="s">
        <v>15</v>
      </c>
      <c r="F1043" t="s">
        <v>39</v>
      </c>
      <c r="H1043" t="s">
        <v>39</v>
      </c>
      <c r="I1043" t="s">
        <v>89</v>
      </c>
      <c r="J1043" t="s">
        <v>78</v>
      </c>
      <c r="K1043" t="s">
        <v>39</v>
      </c>
      <c r="L1043" t="s">
        <v>234</v>
      </c>
      <c r="M1043" t="s">
        <v>235</v>
      </c>
      <c r="N1043" t="s">
        <v>145</v>
      </c>
    </row>
    <row r="1044" spans="1:14" x14ac:dyDescent="0.2">
      <c r="A1044">
        <v>1422137</v>
      </c>
      <c r="B1044">
        <f>YEAR(#REF!)</f>
        <v>2024</v>
      </c>
      <c r="C1044" t="s">
        <v>516</v>
      </c>
      <c r="D1044" s="1">
        <v>45388</v>
      </c>
      <c r="E1044" t="s">
        <v>61</v>
      </c>
      <c r="F1044" t="s">
        <v>14</v>
      </c>
      <c r="H1044" t="s">
        <v>14</v>
      </c>
      <c r="I1044" t="s">
        <v>89</v>
      </c>
      <c r="J1044" t="s">
        <v>78</v>
      </c>
      <c r="K1044" t="s">
        <v>14</v>
      </c>
      <c r="L1044" t="s">
        <v>247</v>
      </c>
      <c r="M1044" t="s">
        <v>84</v>
      </c>
      <c r="N1044" t="s">
        <v>85</v>
      </c>
    </row>
    <row r="1045" spans="1:14" x14ac:dyDescent="0.2">
      <c r="A1045">
        <v>1422138</v>
      </c>
      <c r="B1045">
        <f>YEAR(#REF!)</f>
        <v>2024</v>
      </c>
      <c r="C1045" t="s">
        <v>516</v>
      </c>
      <c r="D1045" s="1">
        <v>45389</v>
      </c>
      <c r="E1045" t="s">
        <v>24</v>
      </c>
      <c r="F1045" t="s">
        <v>49</v>
      </c>
      <c r="H1045" t="s">
        <v>49</v>
      </c>
      <c r="I1045" t="s">
        <v>89</v>
      </c>
      <c r="J1045" t="s">
        <v>78</v>
      </c>
      <c r="K1045" t="s">
        <v>24</v>
      </c>
      <c r="L1045" t="s">
        <v>147</v>
      </c>
      <c r="M1045" t="s">
        <v>91</v>
      </c>
      <c r="N1045" t="s">
        <v>92</v>
      </c>
    </row>
    <row r="1046" spans="1:14" x14ac:dyDescent="0.2">
      <c r="A1046">
        <v>1422139</v>
      </c>
      <c r="B1046">
        <f>YEAR(#REF!)</f>
        <v>2024</v>
      </c>
      <c r="C1046" t="s">
        <v>516</v>
      </c>
      <c r="D1046" s="1">
        <v>45389</v>
      </c>
      <c r="E1046" t="s">
        <v>117</v>
      </c>
      <c r="F1046" t="s">
        <v>55</v>
      </c>
      <c r="H1046" t="s">
        <v>117</v>
      </c>
      <c r="I1046" t="s">
        <v>77</v>
      </c>
      <c r="J1046" t="s">
        <v>78</v>
      </c>
      <c r="K1046" t="s">
        <v>117</v>
      </c>
      <c r="L1046" t="s">
        <v>226</v>
      </c>
      <c r="M1046" t="s">
        <v>155</v>
      </c>
      <c r="N1046" t="s">
        <v>156</v>
      </c>
    </row>
    <row r="1047" spans="1:14" x14ac:dyDescent="0.2">
      <c r="A1047">
        <v>1426260</v>
      </c>
      <c r="B1047">
        <f>YEAR(#REF!)</f>
        <v>2024</v>
      </c>
      <c r="C1047" t="s">
        <v>516</v>
      </c>
      <c r="D1047" s="1">
        <v>45390</v>
      </c>
      <c r="E1047" t="s">
        <v>29</v>
      </c>
      <c r="F1047" t="s">
        <v>15</v>
      </c>
      <c r="H1047" t="s">
        <v>15</v>
      </c>
      <c r="I1047" t="s">
        <v>89</v>
      </c>
      <c r="J1047" t="s">
        <v>78</v>
      </c>
      <c r="K1047" t="s">
        <v>15</v>
      </c>
      <c r="L1047" t="s">
        <v>179</v>
      </c>
      <c r="M1047" t="s">
        <v>106</v>
      </c>
      <c r="N1047" t="s">
        <v>107</v>
      </c>
    </row>
    <row r="1048" spans="1:14" x14ac:dyDescent="0.2">
      <c r="A1048">
        <v>1426261</v>
      </c>
      <c r="B1048">
        <f>YEAR(#REF!)</f>
        <v>2024</v>
      </c>
      <c r="C1048" t="s">
        <v>516</v>
      </c>
      <c r="D1048" s="1">
        <v>45391</v>
      </c>
      <c r="E1048" t="s">
        <v>39</v>
      </c>
      <c r="F1048" t="s">
        <v>62</v>
      </c>
      <c r="H1048" t="s">
        <v>62</v>
      </c>
      <c r="I1048" t="s">
        <v>89</v>
      </c>
      <c r="J1048" t="s">
        <v>78</v>
      </c>
      <c r="K1048" t="s">
        <v>39</v>
      </c>
      <c r="L1048" t="s">
        <v>228</v>
      </c>
      <c r="M1048" t="s">
        <v>109</v>
      </c>
      <c r="N1048" t="s">
        <v>110</v>
      </c>
    </row>
    <row r="1049" spans="1:14" x14ac:dyDescent="0.2">
      <c r="A1049">
        <v>1426262</v>
      </c>
      <c r="B1049">
        <f>YEAR(#REF!)</f>
        <v>2024</v>
      </c>
      <c r="C1049" t="s">
        <v>516</v>
      </c>
      <c r="D1049" s="1">
        <v>45392</v>
      </c>
      <c r="E1049" t="s">
        <v>14</v>
      </c>
      <c r="F1049" t="s">
        <v>55</v>
      </c>
      <c r="H1049" t="s">
        <v>55</v>
      </c>
      <c r="I1049" t="s">
        <v>89</v>
      </c>
      <c r="J1049" t="s">
        <v>78</v>
      </c>
      <c r="K1049" t="s">
        <v>55</v>
      </c>
      <c r="L1049" t="s">
        <v>296</v>
      </c>
      <c r="M1049" t="s">
        <v>84</v>
      </c>
      <c r="N1049" t="s">
        <v>85</v>
      </c>
    </row>
    <row r="1050" spans="1:14" x14ac:dyDescent="0.2">
      <c r="A1050">
        <v>1426263</v>
      </c>
      <c r="B1050">
        <f>YEAR(#REF!)</f>
        <v>2024</v>
      </c>
      <c r="C1050" t="s">
        <v>516</v>
      </c>
      <c r="D1050" s="1">
        <v>45393</v>
      </c>
      <c r="E1050" t="s">
        <v>61</v>
      </c>
      <c r="F1050" t="s">
        <v>24</v>
      </c>
      <c r="H1050" t="s">
        <v>24</v>
      </c>
      <c r="I1050" t="s">
        <v>89</v>
      </c>
      <c r="J1050" t="s">
        <v>78</v>
      </c>
      <c r="K1050" t="s">
        <v>24</v>
      </c>
      <c r="L1050" t="s">
        <v>108</v>
      </c>
      <c r="M1050" t="s">
        <v>91</v>
      </c>
      <c r="N1050" t="s">
        <v>92</v>
      </c>
    </row>
    <row r="1051" spans="1:14" x14ac:dyDescent="0.2">
      <c r="A1051">
        <v>1426264</v>
      </c>
      <c r="B1051">
        <f>YEAR(#REF!)</f>
        <v>2024</v>
      </c>
      <c r="C1051" t="s">
        <v>516</v>
      </c>
      <c r="D1051" s="1">
        <v>45394</v>
      </c>
      <c r="E1051" t="s">
        <v>117</v>
      </c>
      <c r="F1051" t="s">
        <v>49</v>
      </c>
      <c r="H1051" t="s">
        <v>117</v>
      </c>
      <c r="I1051" t="s">
        <v>77</v>
      </c>
      <c r="J1051" t="s">
        <v>78</v>
      </c>
      <c r="K1051" t="s">
        <v>49</v>
      </c>
      <c r="L1051" t="s">
        <v>218</v>
      </c>
      <c r="M1051" t="s">
        <v>155</v>
      </c>
      <c r="N1051" t="s">
        <v>156</v>
      </c>
    </row>
    <row r="1052" spans="1:14" x14ac:dyDescent="0.2">
      <c r="A1052">
        <v>1426265</v>
      </c>
      <c r="B1052">
        <f>YEAR(#REF!)</f>
        <v>2024</v>
      </c>
      <c r="C1052" t="s">
        <v>516</v>
      </c>
      <c r="D1052" s="1">
        <v>45395</v>
      </c>
      <c r="E1052" t="s">
        <v>62</v>
      </c>
      <c r="F1052" t="s">
        <v>14</v>
      </c>
      <c r="H1052" t="s">
        <v>14</v>
      </c>
      <c r="I1052" t="s">
        <v>89</v>
      </c>
      <c r="J1052" t="s">
        <v>78</v>
      </c>
      <c r="K1052" t="s">
        <v>14</v>
      </c>
      <c r="L1052" t="s">
        <v>289</v>
      </c>
      <c r="M1052" t="s">
        <v>109</v>
      </c>
      <c r="N1052" t="s">
        <v>110</v>
      </c>
    </row>
    <row r="1053" spans="1:14" x14ac:dyDescent="0.2">
      <c r="A1053">
        <v>1426266</v>
      </c>
      <c r="B1053">
        <f>YEAR(#REF!)</f>
        <v>2024</v>
      </c>
      <c r="C1053" t="s">
        <v>516</v>
      </c>
      <c r="D1053" s="1">
        <v>45396</v>
      </c>
      <c r="E1053" t="s">
        <v>117</v>
      </c>
      <c r="F1053" t="s">
        <v>29</v>
      </c>
      <c r="H1053" t="s">
        <v>29</v>
      </c>
      <c r="I1053" t="s">
        <v>89</v>
      </c>
      <c r="J1053" t="s">
        <v>78</v>
      </c>
      <c r="K1053" t="s">
        <v>29</v>
      </c>
      <c r="L1053" t="s">
        <v>309</v>
      </c>
      <c r="M1053" t="s">
        <v>227</v>
      </c>
      <c r="N1053" t="s">
        <v>135</v>
      </c>
    </row>
    <row r="1054" spans="1:14" x14ac:dyDescent="0.2">
      <c r="A1054">
        <v>1426267</v>
      </c>
      <c r="B1054">
        <f>YEAR(#REF!)</f>
        <v>2024</v>
      </c>
      <c r="C1054" t="s">
        <v>516</v>
      </c>
      <c r="D1054" s="1">
        <v>45396</v>
      </c>
      <c r="E1054" t="s">
        <v>15</v>
      </c>
      <c r="F1054" t="s">
        <v>24</v>
      </c>
      <c r="H1054" t="s">
        <v>24</v>
      </c>
      <c r="I1054" t="s">
        <v>89</v>
      </c>
      <c r="J1054" t="s">
        <v>78</v>
      </c>
      <c r="K1054" t="s">
        <v>15</v>
      </c>
      <c r="L1054" t="s">
        <v>377</v>
      </c>
      <c r="M1054" t="s">
        <v>91</v>
      </c>
      <c r="N1054" t="s">
        <v>92</v>
      </c>
    </row>
    <row r="1055" spans="1:14" x14ac:dyDescent="0.2">
      <c r="A1055">
        <v>1426268</v>
      </c>
      <c r="B1055">
        <f>YEAR(#REF!)</f>
        <v>2024</v>
      </c>
      <c r="C1055" t="s">
        <v>516</v>
      </c>
      <c r="D1055" s="1">
        <v>45397</v>
      </c>
      <c r="E1055" t="s">
        <v>39</v>
      </c>
      <c r="F1055" t="s">
        <v>61</v>
      </c>
      <c r="H1055" t="s">
        <v>61</v>
      </c>
      <c r="I1055" t="s">
        <v>89</v>
      </c>
      <c r="J1055" t="s">
        <v>78</v>
      </c>
      <c r="K1055" t="s">
        <v>39</v>
      </c>
      <c r="L1055" t="s">
        <v>281</v>
      </c>
      <c r="M1055" t="s">
        <v>242</v>
      </c>
      <c r="N1055" t="s">
        <v>243</v>
      </c>
    </row>
    <row r="1056" spans="1:14" x14ac:dyDescent="0.2">
      <c r="A1056">
        <v>1426269</v>
      </c>
      <c r="B1056">
        <f>YEAR(#REF!)</f>
        <v>2024</v>
      </c>
      <c r="C1056" t="s">
        <v>516</v>
      </c>
      <c r="D1056" s="1">
        <v>45398</v>
      </c>
      <c r="E1056" t="s">
        <v>29</v>
      </c>
      <c r="F1056" t="s">
        <v>14</v>
      </c>
      <c r="H1056" t="s">
        <v>14</v>
      </c>
      <c r="I1056" t="s">
        <v>89</v>
      </c>
      <c r="J1056" t="s">
        <v>78</v>
      </c>
      <c r="K1056" t="s">
        <v>14</v>
      </c>
      <c r="L1056" t="s">
        <v>247</v>
      </c>
      <c r="M1056" t="s">
        <v>227</v>
      </c>
      <c r="N1056" t="s">
        <v>135</v>
      </c>
    </row>
    <row r="1057" spans="1:14" x14ac:dyDescent="0.2">
      <c r="A1057">
        <v>1426270</v>
      </c>
      <c r="B1057">
        <f>YEAR(#REF!)</f>
        <v>2024</v>
      </c>
      <c r="C1057" t="s">
        <v>516</v>
      </c>
      <c r="D1057" s="1">
        <v>45399</v>
      </c>
      <c r="E1057" t="s">
        <v>55</v>
      </c>
      <c r="F1057" t="s">
        <v>49</v>
      </c>
      <c r="H1057" t="s">
        <v>49</v>
      </c>
      <c r="I1057" t="s">
        <v>89</v>
      </c>
      <c r="J1057" t="s">
        <v>78</v>
      </c>
      <c r="K1057" t="s">
        <v>49</v>
      </c>
      <c r="L1057" t="s">
        <v>183</v>
      </c>
      <c r="M1057" t="s">
        <v>129</v>
      </c>
      <c r="N1057" t="s">
        <v>130</v>
      </c>
    </row>
    <row r="1058" spans="1:14" x14ac:dyDescent="0.2">
      <c r="A1058">
        <v>1426271</v>
      </c>
      <c r="B1058">
        <f>YEAR(#REF!)</f>
        <v>2024</v>
      </c>
      <c r="C1058" t="s">
        <v>516</v>
      </c>
      <c r="D1058" s="1">
        <v>45400</v>
      </c>
      <c r="E1058" t="s">
        <v>24</v>
      </c>
      <c r="F1058" t="s">
        <v>62</v>
      </c>
      <c r="H1058" t="s">
        <v>62</v>
      </c>
      <c r="I1058" t="s">
        <v>89</v>
      </c>
      <c r="J1058" t="s">
        <v>78</v>
      </c>
      <c r="K1058" t="s">
        <v>24</v>
      </c>
      <c r="L1058" t="s">
        <v>108</v>
      </c>
      <c r="M1058" t="s">
        <v>109</v>
      </c>
      <c r="N1058" t="s">
        <v>110</v>
      </c>
    </row>
    <row r="1059" spans="1:14" x14ac:dyDescent="0.2">
      <c r="A1059">
        <v>1426272</v>
      </c>
      <c r="B1059">
        <f>YEAR(#REF!)</f>
        <v>2024</v>
      </c>
      <c r="C1059" t="s">
        <v>516</v>
      </c>
      <c r="D1059" s="1">
        <v>45401</v>
      </c>
      <c r="E1059" t="s">
        <v>15</v>
      </c>
      <c r="F1059" t="s">
        <v>117</v>
      </c>
      <c r="H1059" t="s">
        <v>117</v>
      </c>
      <c r="I1059" t="s">
        <v>89</v>
      </c>
      <c r="J1059" t="s">
        <v>78</v>
      </c>
      <c r="K1059" t="s">
        <v>117</v>
      </c>
      <c r="L1059" t="s">
        <v>50</v>
      </c>
      <c r="M1059" t="s">
        <v>155</v>
      </c>
      <c r="N1059" t="s">
        <v>156</v>
      </c>
    </row>
    <row r="1060" spans="1:14" x14ac:dyDescent="0.2">
      <c r="A1060">
        <v>1426273</v>
      </c>
      <c r="B1060">
        <f>YEAR(#REF!)</f>
        <v>2024</v>
      </c>
      <c r="C1060" t="s">
        <v>516</v>
      </c>
      <c r="D1060" s="1">
        <v>45402</v>
      </c>
      <c r="E1060" t="s">
        <v>39</v>
      </c>
      <c r="F1060" t="s">
        <v>49</v>
      </c>
      <c r="H1060" t="s">
        <v>49</v>
      </c>
      <c r="I1060" t="s">
        <v>89</v>
      </c>
      <c r="J1060" t="s">
        <v>78</v>
      </c>
      <c r="K1060" t="s">
        <v>39</v>
      </c>
      <c r="L1060" t="s">
        <v>281</v>
      </c>
      <c r="M1060" t="s">
        <v>149</v>
      </c>
      <c r="N1060" t="s">
        <v>88</v>
      </c>
    </row>
    <row r="1061" spans="1:14" x14ac:dyDescent="0.2">
      <c r="A1061">
        <v>1426275</v>
      </c>
      <c r="B1061">
        <f>YEAR(#REF!)</f>
        <v>2024</v>
      </c>
      <c r="C1061" t="s">
        <v>516</v>
      </c>
      <c r="D1061" s="1">
        <v>45403</v>
      </c>
      <c r="E1061" t="s">
        <v>62</v>
      </c>
      <c r="F1061" t="s">
        <v>55</v>
      </c>
      <c r="H1061" t="s">
        <v>62</v>
      </c>
      <c r="I1061" t="s">
        <v>77</v>
      </c>
      <c r="J1061" t="s">
        <v>78</v>
      </c>
      <c r="K1061" t="s">
        <v>55</v>
      </c>
      <c r="L1061" t="s">
        <v>182</v>
      </c>
      <c r="M1061" t="s">
        <v>109</v>
      </c>
      <c r="N1061" t="s">
        <v>110</v>
      </c>
    </row>
    <row r="1062" spans="1:14" x14ac:dyDescent="0.2">
      <c r="A1062">
        <v>1426274</v>
      </c>
      <c r="B1062">
        <f>YEAR(#REF!)</f>
        <v>2024</v>
      </c>
      <c r="C1062" t="s">
        <v>516</v>
      </c>
      <c r="D1062" s="1">
        <v>45403</v>
      </c>
      <c r="E1062" t="s">
        <v>29</v>
      </c>
      <c r="F1062" t="s">
        <v>61</v>
      </c>
      <c r="H1062" t="s">
        <v>61</v>
      </c>
      <c r="I1062" t="s">
        <v>89</v>
      </c>
      <c r="J1062" t="s">
        <v>78</v>
      </c>
      <c r="K1062" t="s">
        <v>29</v>
      </c>
      <c r="L1062" t="s">
        <v>140</v>
      </c>
      <c r="M1062" t="s">
        <v>227</v>
      </c>
      <c r="N1062" t="s">
        <v>135</v>
      </c>
    </row>
    <row r="1063" spans="1:14" x14ac:dyDescent="0.2">
      <c r="A1063">
        <v>1426276</v>
      </c>
      <c r="B1063">
        <f>YEAR(#REF!)</f>
        <v>2024</v>
      </c>
      <c r="C1063" t="s">
        <v>516</v>
      </c>
      <c r="D1063" s="1">
        <v>45404</v>
      </c>
      <c r="E1063" t="s">
        <v>24</v>
      </c>
      <c r="F1063" t="s">
        <v>14</v>
      </c>
      <c r="H1063" t="s">
        <v>24</v>
      </c>
      <c r="I1063" t="s">
        <v>77</v>
      </c>
      <c r="J1063" t="s">
        <v>78</v>
      </c>
      <c r="K1063" t="s">
        <v>14</v>
      </c>
      <c r="L1063" t="s">
        <v>83</v>
      </c>
      <c r="M1063" t="s">
        <v>84</v>
      </c>
      <c r="N1063" t="s">
        <v>85</v>
      </c>
    </row>
    <row r="1064" spans="1:14" x14ac:dyDescent="0.2">
      <c r="A1064">
        <v>1426277</v>
      </c>
      <c r="B1064">
        <f>YEAR(#REF!)</f>
        <v>2024</v>
      </c>
      <c r="C1064" t="s">
        <v>516</v>
      </c>
      <c r="D1064" s="1">
        <v>45405</v>
      </c>
      <c r="E1064" t="s">
        <v>15</v>
      </c>
      <c r="F1064" t="s">
        <v>117</v>
      </c>
      <c r="H1064" t="s">
        <v>117</v>
      </c>
      <c r="I1064" t="s">
        <v>89</v>
      </c>
      <c r="J1064" t="s">
        <v>78</v>
      </c>
      <c r="K1064" t="s">
        <v>117</v>
      </c>
      <c r="L1064" t="s">
        <v>245</v>
      </c>
      <c r="M1064" t="s">
        <v>106</v>
      </c>
      <c r="N1064" t="s">
        <v>107</v>
      </c>
    </row>
    <row r="1065" spans="1:14" x14ac:dyDescent="0.2">
      <c r="A1065">
        <v>1426278</v>
      </c>
      <c r="B1065">
        <f>YEAR(#REF!)</f>
        <v>2024</v>
      </c>
      <c r="C1065" t="s">
        <v>516</v>
      </c>
      <c r="D1065" s="1">
        <v>45406</v>
      </c>
      <c r="E1065" t="s">
        <v>49</v>
      </c>
      <c r="F1065" t="s">
        <v>55</v>
      </c>
      <c r="H1065" t="s">
        <v>55</v>
      </c>
      <c r="I1065" t="s">
        <v>89</v>
      </c>
      <c r="J1065" t="s">
        <v>78</v>
      </c>
      <c r="K1065" t="s">
        <v>49</v>
      </c>
      <c r="L1065" t="s">
        <v>183</v>
      </c>
      <c r="M1065" t="s">
        <v>149</v>
      </c>
      <c r="N1065" t="s">
        <v>88</v>
      </c>
    </row>
    <row r="1066" spans="1:14" x14ac:dyDescent="0.2">
      <c r="A1066">
        <v>1426279</v>
      </c>
      <c r="B1066">
        <f>YEAR(#REF!)</f>
        <v>2024</v>
      </c>
      <c r="C1066" t="s">
        <v>516</v>
      </c>
      <c r="D1066" s="1">
        <v>45407</v>
      </c>
      <c r="E1066" t="s">
        <v>61</v>
      </c>
      <c r="F1066" t="s">
        <v>39</v>
      </c>
      <c r="H1066" t="s">
        <v>61</v>
      </c>
      <c r="I1066" t="s">
        <v>77</v>
      </c>
      <c r="J1066" t="s">
        <v>78</v>
      </c>
      <c r="K1066" t="s">
        <v>61</v>
      </c>
      <c r="L1066" t="s">
        <v>267</v>
      </c>
      <c r="M1066" t="s">
        <v>235</v>
      </c>
      <c r="N1066" t="s">
        <v>145</v>
      </c>
    </row>
    <row r="1067" spans="1:14" x14ac:dyDescent="0.2">
      <c r="A1067">
        <v>1426280</v>
      </c>
      <c r="B1067">
        <f>YEAR(#REF!)</f>
        <v>2024</v>
      </c>
      <c r="C1067" t="s">
        <v>516</v>
      </c>
      <c r="D1067" s="1">
        <v>45408</v>
      </c>
      <c r="E1067" t="s">
        <v>29</v>
      </c>
      <c r="F1067" t="s">
        <v>62</v>
      </c>
      <c r="H1067" t="s">
        <v>62</v>
      </c>
      <c r="I1067" t="s">
        <v>89</v>
      </c>
      <c r="J1067" t="s">
        <v>78</v>
      </c>
      <c r="K1067" t="s">
        <v>62</v>
      </c>
      <c r="L1067" t="s">
        <v>220</v>
      </c>
      <c r="M1067" t="s">
        <v>227</v>
      </c>
      <c r="N1067" t="s">
        <v>135</v>
      </c>
    </row>
    <row r="1068" spans="1:14" x14ac:dyDescent="0.2">
      <c r="A1068">
        <v>1426281</v>
      </c>
      <c r="B1068">
        <f>YEAR(#REF!)</f>
        <v>2024</v>
      </c>
      <c r="C1068" t="s">
        <v>516</v>
      </c>
      <c r="D1068" s="1">
        <v>45409</v>
      </c>
      <c r="E1068" t="s">
        <v>49</v>
      </c>
      <c r="F1068" t="s">
        <v>24</v>
      </c>
      <c r="H1068" t="s">
        <v>24</v>
      </c>
      <c r="I1068" t="s">
        <v>89</v>
      </c>
      <c r="J1068" t="s">
        <v>78</v>
      </c>
      <c r="K1068" t="s">
        <v>49</v>
      </c>
      <c r="L1068" t="s">
        <v>172</v>
      </c>
      <c r="M1068" t="s">
        <v>149</v>
      </c>
      <c r="N1068" t="s">
        <v>88</v>
      </c>
    </row>
    <row r="1069" spans="1:14" x14ac:dyDescent="0.2">
      <c r="A1069">
        <v>1426282</v>
      </c>
      <c r="B1069">
        <f>YEAR(#REF!)</f>
        <v>2024</v>
      </c>
      <c r="C1069" t="s">
        <v>516</v>
      </c>
      <c r="D1069" s="1">
        <v>45409</v>
      </c>
      <c r="E1069" t="s">
        <v>117</v>
      </c>
      <c r="F1069" t="s">
        <v>14</v>
      </c>
      <c r="H1069" t="s">
        <v>14</v>
      </c>
      <c r="I1069" t="s">
        <v>89</v>
      </c>
      <c r="J1069" t="s">
        <v>78</v>
      </c>
      <c r="K1069" t="s">
        <v>14</v>
      </c>
      <c r="L1069" t="s">
        <v>187</v>
      </c>
      <c r="M1069" t="s">
        <v>155</v>
      </c>
      <c r="N1069" t="s">
        <v>156</v>
      </c>
    </row>
    <row r="1070" spans="1:14" x14ac:dyDescent="0.2">
      <c r="A1070">
        <v>1426284</v>
      </c>
      <c r="B1070">
        <f>YEAR(#REF!)</f>
        <v>2024</v>
      </c>
      <c r="C1070" t="s">
        <v>516</v>
      </c>
      <c r="D1070" s="1">
        <v>45410</v>
      </c>
      <c r="E1070" t="s">
        <v>15</v>
      </c>
      <c r="F1070" t="s">
        <v>39</v>
      </c>
      <c r="H1070" t="s">
        <v>39</v>
      </c>
      <c r="I1070" t="s">
        <v>89</v>
      </c>
      <c r="J1070" t="s">
        <v>78</v>
      </c>
      <c r="K1070" t="s">
        <v>15</v>
      </c>
      <c r="L1070" t="s">
        <v>178</v>
      </c>
      <c r="M1070" t="s">
        <v>106</v>
      </c>
      <c r="N1070" t="s">
        <v>107</v>
      </c>
    </row>
    <row r="1071" spans="1:14" x14ac:dyDescent="0.2">
      <c r="A1071">
        <v>1426283</v>
      </c>
      <c r="B1071">
        <f>YEAR(#REF!)</f>
        <v>2024</v>
      </c>
      <c r="C1071" t="s">
        <v>516</v>
      </c>
      <c r="D1071" s="1">
        <v>45410</v>
      </c>
      <c r="E1071" t="s">
        <v>55</v>
      </c>
      <c r="F1071" t="s">
        <v>61</v>
      </c>
      <c r="H1071" t="s">
        <v>61</v>
      </c>
      <c r="I1071" t="s">
        <v>89</v>
      </c>
      <c r="J1071" t="s">
        <v>78</v>
      </c>
      <c r="K1071" t="s">
        <v>61</v>
      </c>
      <c r="L1071" t="s">
        <v>430</v>
      </c>
      <c r="M1071" t="s">
        <v>129</v>
      </c>
      <c r="N1071" t="s">
        <v>130</v>
      </c>
    </row>
    <row r="1072" spans="1:14" x14ac:dyDescent="0.2">
      <c r="A1072">
        <v>1426285</v>
      </c>
      <c r="B1072">
        <f>YEAR(#REF!)</f>
        <v>2024</v>
      </c>
      <c r="C1072" t="s">
        <v>516</v>
      </c>
      <c r="D1072" s="1">
        <v>45411</v>
      </c>
      <c r="E1072" t="s">
        <v>49</v>
      </c>
      <c r="F1072" t="s">
        <v>29</v>
      </c>
      <c r="H1072" t="s">
        <v>49</v>
      </c>
      <c r="I1072" t="s">
        <v>77</v>
      </c>
      <c r="J1072" t="s">
        <v>78</v>
      </c>
      <c r="K1072" t="s">
        <v>29</v>
      </c>
      <c r="L1072" t="s">
        <v>244</v>
      </c>
      <c r="M1072" t="s">
        <v>227</v>
      </c>
      <c r="N1072" t="s">
        <v>135</v>
      </c>
    </row>
    <row r="1073" spans="1:14" x14ac:dyDescent="0.2">
      <c r="A1073">
        <v>1426286</v>
      </c>
      <c r="B1073">
        <f>YEAR(#REF!)</f>
        <v>2024</v>
      </c>
      <c r="C1073" t="s">
        <v>516</v>
      </c>
      <c r="D1073" s="1">
        <v>45412</v>
      </c>
      <c r="E1073" t="s">
        <v>24</v>
      </c>
      <c r="F1073" t="s">
        <v>117</v>
      </c>
      <c r="H1073" t="s">
        <v>117</v>
      </c>
      <c r="I1073" t="s">
        <v>89</v>
      </c>
      <c r="J1073" t="s">
        <v>78</v>
      </c>
      <c r="K1073" t="s">
        <v>117</v>
      </c>
      <c r="L1073" t="s">
        <v>245</v>
      </c>
      <c r="M1073" t="s">
        <v>155</v>
      </c>
      <c r="N1073" t="s">
        <v>156</v>
      </c>
    </row>
    <row r="1074" spans="1:14" x14ac:dyDescent="0.2">
      <c r="A1074">
        <v>1426287</v>
      </c>
      <c r="B1074">
        <f>YEAR(#REF!)</f>
        <v>2024</v>
      </c>
      <c r="C1074" t="s">
        <v>516</v>
      </c>
      <c r="D1074" s="1">
        <v>45413</v>
      </c>
      <c r="E1074" t="s">
        <v>15</v>
      </c>
      <c r="F1074" t="s">
        <v>62</v>
      </c>
      <c r="H1074" t="s">
        <v>62</v>
      </c>
      <c r="I1074" t="s">
        <v>89</v>
      </c>
      <c r="J1074" t="s">
        <v>78</v>
      </c>
      <c r="K1074" t="s">
        <v>62</v>
      </c>
      <c r="L1074" t="s">
        <v>401</v>
      </c>
      <c r="M1074" t="s">
        <v>106</v>
      </c>
      <c r="N1074" t="s">
        <v>107</v>
      </c>
    </row>
    <row r="1075" spans="1:14" x14ac:dyDescent="0.2">
      <c r="A1075">
        <v>1426288</v>
      </c>
      <c r="B1075">
        <f>YEAR(#REF!)</f>
        <v>2024</v>
      </c>
      <c r="C1075" t="s">
        <v>516</v>
      </c>
      <c r="D1075" s="1">
        <v>45414</v>
      </c>
      <c r="E1075" t="s">
        <v>39</v>
      </c>
      <c r="F1075" t="s">
        <v>14</v>
      </c>
      <c r="H1075" t="s">
        <v>39</v>
      </c>
      <c r="I1075" t="s">
        <v>77</v>
      </c>
      <c r="J1075" t="s">
        <v>78</v>
      </c>
      <c r="K1075" t="s">
        <v>39</v>
      </c>
      <c r="L1075" t="s">
        <v>323</v>
      </c>
      <c r="M1075" t="s">
        <v>235</v>
      </c>
      <c r="N1075" t="s">
        <v>145</v>
      </c>
    </row>
    <row r="1076" spans="1:14" x14ac:dyDescent="0.2">
      <c r="A1076">
        <v>1426289</v>
      </c>
      <c r="B1076">
        <f>YEAR(#REF!)</f>
        <v>2024</v>
      </c>
      <c r="C1076" t="s">
        <v>516</v>
      </c>
      <c r="D1076" s="1">
        <v>45415</v>
      </c>
      <c r="E1076" t="s">
        <v>29</v>
      </c>
      <c r="F1076" t="s">
        <v>24</v>
      </c>
      <c r="H1076" t="s">
        <v>24</v>
      </c>
      <c r="I1076" t="s">
        <v>89</v>
      </c>
      <c r="J1076" t="s">
        <v>78</v>
      </c>
      <c r="K1076" t="s">
        <v>29</v>
      </c>
      <c r="L1076" t="s">
        <v>224</v>
      </c>
      <c r="M1076" t="s">
        <v>91</v>
      </c>
      <c r="N1076" t="s">
        <v>92</v>
      </c>
    </row>
    <row r="1077" spans="1:14" x14ac:dyDescent="0.2">
      <c r="A1077">
        <v>1426290</v>
      </c>
      <c r="B1077">
        <f>YEAR(#REF!)</f>
        <v>2024</v>
      </c>
      <c r="C1077" t="s">
        <v>516</v>
      </c>
      <c r="D1077" s="1">
        <v>45416</v>
      </c>
      <c r="E1077" t="s">
        <v>55</v>
      </c>
      <c r="F1077" t="s">
        <v>61</v>
      </c>
      <c r="H1077" t="s">
        <v>61</v>
      </c>
      <c r="I1077" t="s">
        <v>89</v>
      </c>
      <c r="J1077" t="s">
        <v>78</v>
      </c>
      <c r="K1077" t="s">
        <v>61</v>
      </c>
      <c r="L1077" t="s">
        <v>329</v>
      </c>
      <c r="M1077" t="s">
        <v>242</v>
      </c>
      <c r="N1077" t="s">
        <v>243</v>
      </c>
    </row>
    <row r="1078" spans="1:14" x14ac:dyDescent="0.2">
      <c r="A1078">
        <v>1426292</v>
      </c>
      <c r="B1078">
        <f>YEAR(#REF!)</f>
        <v>2024</v>
      </c>
      <c r="C1078" t="s">
        <v>516</v>
      </c>
      <c r="D1078" s="1">
        <v>45417</v>
      </c>
      <c r="E1078" t="s">
        <v>29</v>
      </c>
      <c r="F1078" t="s">
        <v>117</v>
      </c>
      <c r="H1078" t="s">
        <v>117</v>
      </c>
      <c r="I1078" t="s">
        <v>89</v>
      </c>
      <c r="J1078" t="s">
        <v>78</v>
      </c>
      <c r="K1078" t="s">
        <v>29</v>
      </c>
      <c r="L1078" t="s">
        <v>133</v>
      </c>
      <c r="M1078" t="s">
        <v>155</v>
      </c>
      <c r="N1078" t="s">
        <v>156</v>
      </c>
    </row>
    <row r="1079" spans="1:14" x14ac:dyDescent="0.2">
      <c r="A1079">
        <v>1426291</v>
      </c>
      <c r="B1079">
        <f>YEAR(#REF!)</f>
        <v>2024</v>
      </c>
      <c r="C1079" t="s">
        <v>516</v>
      </c>
      <c r="D1079" s="1">
        <v>45417</v>
      </c>
      <c r="E1079" t="s">
        <v>15</v>
      </c>
      <c r="F1079" t="s">
        <v>62</v>
      </c>
      <c r="H1079" t="s">
        <v>62</v>
      </c>
      <c r="I1079" t="s">
        <v>89</v>
      </c>
      <c r="J1079" t="s">
        <v>78</v>
      </c>
      <c r="K1079" t="s">
        <v>15</v>
      </c>
      <c r="L1079" t="s">
        <v>179</v>
      </c>
      <c r="M1079" t="s">
        <v>317</v>
      </c>
      <c r="N1079" t="s">
        <v>176</v>
      </c>
    </row>
    <row r="1080" spans="1:14" x14ac:dyDescent="0.2">
      <c r="A1080">
        <v>1426293</v>
      </c>
      <c r="B1080">
        <f>YEAR(#REF!)</f>
        <v>2024</v>
      </c>
      <c r="C1080" t="s">
        <v>516</v>
      </c>
      <c r="D1080" s="1">
        <v>45418</v>
      </c>
      <c r="E1080" t="s">
        <v>39</v>
      </c>
      <c r="F1080" t="s">
        <v>24</v>
      </c>
      <c r="H1080" t="s">
        <v>24</v>
      </c>
      <c r="I1080" t="s">
        <v>89</v>
      </c>
      <c r="J1080" t="s">
        <v>78</v>
      </c>
      <c r="K1080" t="s">
        <v>24</v>
      </c>
      <c r="L1080" t="s">
        <v>287</v>
      </c>
      <c r="M1080" t="s">
        <v>91</v>
      </c>
      <c r="N1080" t="s">
        <v>92</v>
      </c>
    </row>
    <row r="1081" spans="1:14" x14ac:dyDescent="0.2">
      <c r="A1081">
        <v>1426294</v>
      </c>
      <c r="B1081">
        <f>YEAR(#REF!)</f>
        <v>2024</v>
      </c>
      <c r="C1081" t="s">
        <v>516</v>
      </c>
      <c r="D1081" s="1">
        <v>45419</v>
      </c>
      <c r="E1081" t="s">
        <v>49</v>
      </c>
      <c r="F1081" t="s">
        <v>14</v>
      </c>
      <c r="H1081" t="s">
        <v>14</v>
      </c>
      <c r="I1081" t="s">
        <v>89</v>
      </c>
      <c r="J1081" t="s">
        <v>78</v>
      </c>
      <c r="K1081" t="s">
        <v>49</v>
      </c>
      <c r="L1081" t="s">
        <v>218</v>
      </c>
      <c r="M1081" t="s">
        <v>149</v>
      </c>
      <c r="N1081" t="s">
        <v>88</v>
      </c>
    </row>
    <row r="1082" spans="1:14" x14ac:dyDescent="0.2">
      <c r="A1082">
        <v>1426295</v>
      </c>
      <c r="B1082">
        <f>YEAR(#REF!)</f>
        <v>2024</v>
      </c>
      <c r="C1082" t="s">
        <v>516</v>
      </c>
      <c r="D1082" s="1">
        <v>45420</v>
      </c>
      <c r="E1082" t="s">
        <v>117</v>
      </c>
      <c r="F1082" t="s">
        <v>39</v>
      </c>
      <c r="H1082" t="s">
        <v>117</v>
      </c>
      <c r="I1082" t="s">
        <v>77</v>
      </c>
      <c r="J1082" t="s">
        <v>78</v>
      </c>
      <c r="K1082" t="s">
        <v>39</v>
      </c>
      <c r="L1082" t="s">
        <v>281</v>
      </c>
      <c r="M1082" t="s">
        <v>235</v>
      </c>
      <c r="N1082" t="s">
        <v>145</v>
      </c>
    </row>
    <row r="1083" spans="1:14" x14ac:dyDescent="0.2">
      <c r="A1083">
        <v>1426296</v>
      </c>
      <c r="B1083">
        <f>YEAR(#REF!)</f>
        <v>2024</v>
      </c>
      <c r="C1083" t="s">
        <v>516</v>
      </c>
      <c r="D1083" s="1">
        <v>45421</v>
      </c>
      <c r="E1083" t="s">
        <v>61</v>
      </c>
      <c r="F1083" t="s">
        <v>62</v>
      </c>
      <c r="H1083" t="s">
        <v>62</v>
      </c>
      <c r="I1083" t="s">
        <v>89</v>
      </c>
      <c r="J1083" t="s">
        <v>78</v>
      </c>
      <c r="K1083" t="s">
        <v>61</v>
      </c>
      <c r="L1083" t="s">
        <v>257</v>
      </c>
      <c r="M1083" t="s">
        <v>317</v>
      </c>
      <c r="N1083" t="s">
        <v>176</v>
      </c>
    </row>
    <row r="1084" spans="1:14" x14ac:dyDescent="0.2">
      <c r="A1084">
        <v>1426297</v>
      </c>
      <c r="B1084">
        <f>YEAR(#REF!)</f>
        <v>2024</v>
      </c>
      <c r="C1084" t="s">
        <v>516</v>
      </c>
      <c r="D1084" s="1">
        <v>45422</v>
      </c>
      <c r="E1084" t="s">
        <v>55</v>
      </c>
      <c r="F1084" t="s">
        <v>15</v>
      </c>
      <c r="H1084" t="s">
        <v>15</v>
      </c>
      <c r="I1084" t="s">
        <v>89</v>
      </c>
      <c r="J1084" t="s">
        <v>78</v>
      </c>
      <c r="K1084" t="s">
        <v>55</v>
      </c>
      <c r="L1084" t="s">
        <v>59</v>
      </c>
      <c r="M1084" t="s">
        <v>129</v>
      </c>
      <c r="N1084" t="s">
        <v>130</v>
      </c>
    </row>
    <row r="1085" spans="1:14" x14ac:dyDescent="0.2">
      <c r="A1085">
        <v>1426298</v>
      </c>
      <c r="B1085">
        <f>YEAR(#REF!)</f>
        <v>2024</v>
      </c>
      <c r="C1085" t="s">
        <v>516</v>
      </c>
      <c r="D1085" s="1">
        <v>45423</v>
      </c>
      <c r="E1085" t="s">
        <v>29</v>
      </c>
      <c r="F1085" t="s">
        <v>24</v>
      </c>
      <c r="H1085" t="s">
        <v>24</v>
      </c>
      <c r="I1085" t="s">
        <v>89</v>
      </c>
      <c r="J1085" t="s">
        <v>78</v>
      </c>
      <c r="K1085" t="s">
        <v>29</v>
      </c>
      <c r="L1085" t="s">
        <v>244</v>
      </c>
      <c r="M1085" t="s">
        <v>227</v>
      </c>
      <c r="N1085" t="s">
        <v>135</v>
      </c>
    </row>
    <row r="1086" spans="1:14" x14ac:dyDescent="0.2">
      <c r="A1086">
        <v>1426299</v>
      </c>
      <c r="B1086">
        <f>YEAR(#REF!)</f>
        <v>2024</v>
      </c>
      <c r="C1086" t="s">
        <v>516</v>
      </c>
      <c r="D1086" s="1">
        <v>45424</v>
      </c>
      <c r="E1086" t="s">
        <v>14</v>
      </c>
      <c r="F1086" t="s">
        <v>15</v>
      </c>
      <c r="H1086" t="s">
        <v>14</v>
      </c>
      <c r="I1086" t="s">
        <v>77</v>
      </c>
      <c r="J1086" t="s">
        <v>78</v>
      </c>
      <c r="K1086" t="s">
        <v>15</v>
      </c>
      <c r="L1086" t="s">
        <v>380</v>
      </c>
      <c r="M1086" t="s">
        <v>106</v>
      </c>
      <c r="N1086" t="s">
        <v>107</v>
      </c>
    </row>
    <row r="1087" spans="1:14" x14ac:dyDescent="0.2">
      <c r="A1087">
        <v>1426300</v>
      </c>
      <c r="B1087">
        <f>YEAR(#REF!)</f>
        <v>2024</v>
      </c>
      <c r="C1087" t="s">
        <v>516</v>
      </c>
      <c r="D1087" s="1">
        <v>45424</v>
      </c>
      <c r="E1087" t="s">
        <v>61</v>
      </c>
      <c r="F1087" t="s">
        <v>49</v>
      </c>
      <c r="H1087" t="s">
        <v>49</v>
      </c>
      <c r="I1087" t="s">
        <v>89</v>
      </c>
      <c r="J1087" t="s">
        <v>78</v>
      </c>
      <c r="K1087" t="s">
        <v>61</v>
      </c>
      <c r="L1087" t="s">
        <v>261</v>
      </c>
      <c r="M1087" t="s">
        <v>242</v>
      </c>
      <c r="N1087" t="s">
        <v>243</v>
      </c>
    </row>
    <row r="1088" spans="1:14" x14ac:dyDescent="0.2">
      <c r="A1088">
        <v>1426302</v>
      </c>
      <c r="B1088">
        <f>YEAR(#REF!)</f>
        <v>2024</v>
      </c>
      <c r="C1088" t="s">
        <v>516</v>
      </c>
      <c r="D1088" s="1">
        <v>45426</v>
      </c>
      <c r="E1088" t="s">
        <v>49</v>
      </c>
      <c r="F1088" t="s">
        <v>117</v>
      </c>
      <c r="H1088" t="s">
        <v>117</v>
      </c>
      <c r="I1088" t="s">
        <v>89</v>
      </c>
      <c r="J1088" t="s">
        <v>78</v>
      </c>
      <c r="K1088" t="s">
        <v>49</v>
      </c>
      <c r="L1088" t="s">
        <v>320</v>
      </c>
      <c r="M1088" t="s">
        <v>149</v>
      </c>
      <c r="N1088" t="s">
        <v>88</v>
      </c>
    </row>
    <row r="1089" spans="1:14" x14ac:dyDescent="0.2">
      <c r="A1089">
        <v>1426303</v>
      </c>
      <c r="B1089">
        <f>YEAR(#REF!)</f>
        <v>2024</v>
      </c>
      <c r="C1089" t="s">
        <v>516</v>
      </c>
      <c r="D1089" s="1">
        <v>45427</v>
      </c>
      <c r="E1089" t="s">
        <v>14</v>
      </c>
      <c r="F1089" t="s">
        <v>62</v>
      </c>
      <c r="H1089" t="s">
        <v>14</v>
      </c>
      <c r="I1089" t="s">
        <v>77</v>
      </c>
      <c r="J1089" t="s">
        <v>78</v>
      </c>
      <c r="K1089" t="s">
        <v>62</v>
      </c>
      <c r="L1089" t="s">
        <v>206</v>
      </c>
      <c r="M1089" t="s">
        <v>351</v>
      </c>
      <c r="N1089" t="s">
        <v>352</v>
      </c>
    </row>
    <row r="1090" spans="1:14" x14ac:dyDescent="0.2">
      <c r="A1090">
        <v>1426305</v>
      </c>
      <c r="B1090">
        <f>YEAR(#REF!)</f>
        <v>2024</v>
      </c>
      <c r="C1090" t="s">
        <v>516</v>
      </c>
      <c r="D1090" s="1">
        <v>45429</v>
      </c>
      <c r="E1090" t="s">
        <v>117</v>
      </c>
      <c r="F1090" t="s">
        <v>24</v>
      </c>
      <c r="H1090" t="s">
        <v>24</v>
      </c>
      <c r="I1090" t="s">
        <v>89</v>
      </c>
      <c r="J1090" t="s">
        <v>78</v>
      </c>
      <c r="K1090" t="s">
        <v>117</v>
      </c>
      <c r="L1090" t="s">
        <v>241</v>
      </c>
      <c r="M1090" t="s">
        <v>91</v>
      </c>
      <c r="N1090" t="s">
        <v>92</v>
      </c>
    </row>
    <row r="1091" spans="1:14" x14ac:dyDescent="0.2">
      <c r="A1091">
        <v>1426306</v>
      </c>
      <c r="B1091">
        <f>YEAR(#REF!)</f>
        <v>2024</v>
      </c>
      <c r="C1091" t="s">
        <v>516</v>
      </c>
      <c r="D1091" s="1">
        <v>45430</v>
      </c>
      <c r="E1091" t="s">
        <v>61</v>
      </c>
      <c r="F1091" t="s">
        <v>15</v>
      </c>
      <c r="H1091" t="s">
        <v>15</v>
      </c>
      <c r="I1091" t="s">
        <v>89</v>
      </c>
      <c r="J1091" t="s">
        <v>78</v>
      </c>
      <c r="K1091" t="s">
        <v>61</v>
      </c>
      <c r="L1091" t="s">
        <v>189</v>
      </c>
      <c r="M1091" t="s">
        <v>242</v>
      </c>
      <c r="N1091" t="s">
        <v>243</v>
      </c>
    </row>
    <row r="1092" spans="1:14" x14ac:dyDescent="0.2">
      <c r="A1092">
        <v>1426307</v>
      </c>
      <c r="B1092">
        <f>YEAR(#REF!)</f>
        <v>2024</v>
      </c>
      <c r="C1092" t="s">
        <v>516</v>
      </c>
      <c r="D1092" s="1">
        <v>45431</v>
      </c>
      <c r="E1092" t="s">
        <v>62</v>
      </c>
      <c r="F1092" t="s">
        <v>39</v>
      </c>
      <c r="H1092" t="s">
        <v>62</v>
      </c>
      <c r="I1092" t="s">
        <v>77</v>
      </c>
      <c r="J1092" t="s">
        <v>78</v>
      </c>
      <c r="K1092" t="s">
        <v>39</v>
      </c>
      <c r="L1092" t="s">
        <v>234</v>
      </c>
      <c r="M1092" t="s">
        <v>235</v>
      </c>
      <c r="N1092" t="s">
        <v>145</v>
      </c>
    </row>
    <row r="1093" spans="1:14" x14ac:dyDescent="0.2">
      <c r="A1093">
        <v>1426309</v>
      </c>
      <c r="B1093">
        <f>YEAR(#REF!)</f>
        <v>2024</v>
      </c>
      <c r="C1093" t="s">
        <v>516</v>
      </c>
      <c r="D1093" s="1">
        <v>45433</v>
      </c>
      <c r="E1093" t="s">
        <v>39</v>
      </c>
      <c r="F1093" t="s">
        <v>29</v>
      </c>
      <c r="H1093" t="s">
        <v>39</v>
      </c>
      <c r="I1093" t="s">
        <v>77</v>
      </c>
      <c r="J1093" t="s">
        <v>78</v>
      </c>
      <c r="K1093" t="s">
        <v>29</v>
      </c>
      <c r="L1093" t="s">
        <v>105</v>
      </c>
      <c r="M1093" t="s">
        <v>129</v>
      </c>
      <c r="N1093" t="s">
        <v>130</v>
      </c>
    </row>
    <row r="1094" spans="1:14" x14ac:dyDescent="0.2">
      <c r="A1094">
        <v>1426310</v>
      </c>
      <c r="B1094">
        <f>YEAR(#REF!)</f>
        <v>2024</v>
      </c>
      <c r="C1094" t="s">
        <v>516</v>
      </c>
      <c r="D1094" s="1">
        <v>45434</v>
      </c>
      <c r="E1094" t="s">
        <v>61</v>
      </c>
      <c r="F1094" t="s">
        <v>14</v>
      </c>
      <c r="H1094" t="s">
        <v>14</v>
      </c>
      <c r="I1094" t="s">
        <v>89</v>
      </c>
      <c r="J1094" t="s">
        <v>78</v>
      </c>
      <c r="K1094" t="s">
        <v>14</v>
      </c>
      <c r="L1094" t="s">
        <v>93</v>
      </c>
      <c r="M1094" t="s">
        <v>129</v>
      </c>
      <c r="N1094" t="s">
        <v>130</v>
      </c>
    </row>
    <row r="1095" spans="1:14" x14ac:dyDescent="0.2">
      <c r="A1095">
        <v>1426311</v>
      </c>
      <c r="B1095">
        <f>YEAR(#REF!)</f>
        <v>2024</v>
      </c>
      <c r="C1095" t="s">
        <v>516</v>
      </c>
      <c r="D1095" s="1">
        <v>45436</v>
      </c>
      <c r="E1095" t="s">
        <v>39</v>
      </c>
      <c r="F1095" t="s">
        <v>14</v>
      </c>
      <c r="H1095" t="s">
        <v>14</v>
      </c>
      <c r="I1095" t="s">
        <v>89</v>
      </c>
      <c r="J1095" t="s">
        <v>78</v>
      </c>
      <c r="K1095" t="s">
        <v>39</v>
      </c>
      <c r="L1095" t="s">
        <v>495</v>
      </c>
      <c r="M1095" t="s">
        <v>106</v>
      </c>
      <c r="N1095" t="s">
        <v>107</v>
      </c>
    </row>
    <row r="1096" spans="1:14" x14ac:dyDescent="0.2">
      <c r="A1096">
        <v>1426312</v>
      </c>
      <c r="B1096">
        <f>YEAR(#REF!)</f>
        <v>2024</v>
      </c>
      <c r="C1096" t="s">
        <v>516</v>
      </c>
      <c r="D1096" s="1">
        <v>45438</v>
      </c>
      <c r="E1096" t="s">
        <v>39</v>
      </c>
      <c r="F1096" t="s">
        <v>29</v>
      </c>
      <c r="H1096" t="s">
        <v>39</v>
      </c>
      <c r="I1096" t="s">
        <v>77</v>
      </c>
      <c r="J1096" t="s">
        <v>78</v>
      </c>
      <c r="K1096" t="s">
        <v>29</v>
      </c>
      <c r="L1096" t="s">
        <v>105</v>
      </c>
      <c r="M1096" t="s">
        <v>106</v>
      </c>
      <c r="N1096" t="s">
        <v>107</v>
      </c>
    </row>
    <row r="1097" spans="1:14" x14ac:dyDescent="0.2">
      <c r="A1097">
        <v>1473438</v>
      </c>
      <c r="B1097">
        <f>YEAR(#REF!)</f>
        <v>2025</v>
      </c>
      <c r="C1097" t="s">
        <v>517</v>
      </c>
      <c r="D1097" s="1">
        <v>45738</v>
      </c>
      <c r="E1097" t="s">
        <v>29</v>
      </c>
      <c r="F1097" t="s">
        <v>61</v>
      </c>
      <c r="H1097" t="s">
        <v>61</v>
      </c>
      <c r="I1097" t="s">
        <v>89</v>
      </c>
      <c r="J1097" t="s">
        <v>78</v>
      </c>
      <c r="K1097" t="s">
        <v>61</v>
      </c>
      <c r="L1097" t="s">
        <v>148</v>
      </c>
      <c r="M1097" t="s">
        <v>227</v>
      </c>
      <c r="N1097" t="s">
        <v>135</v>
      </c>
    </row>
    <row r="1098" spans="1:14" x14ac:dyDescent="0.2">
      <c r="A1098">
        <v>1473440</v>
      </c>
      <c r="B1098">
        <f>YEAR(#REF!)</f>
        <v>2025</v>
      </c>
      <c r="C1098" t="s">
        <v>517</v>
      </c>
      <c r="D1098" s="1">
        <v>45739</v>
      </c>
      <c r="E1098" t="s">
        <v>24</v>
      </c>
      <c r="F1098" t="s">
        <v>15</v>
      </c>
      <c r="H1098" t="s">
        <v>15</v>
      </c>
      <c r="I1098" t="s">
        <v>89</v>
      </c>
      <c r="J1098" t="s">
        <v>78</v>
      </c>
      <c r="K1098" t="s">
        <v>15</v>
      </c>
      <c r="L1098" t="s">
        <v>413</v>
      </c>
      <c r="M1098" t="s">
        <v>106</v>
      </c>
      <c r="N1098" t="s">
        <v>107</v>
      </c>
    </row>
    <row r="1099" spans="1:14" x14ac:dyDescent="0.2">
      <c r="A1099">
        <v>1473439</v>
      </c>
      <c r="B1099">
        <f>YEAR(#REF!)</f>
        <v>2025</v>
      </c>
      <c r="C1099" t="s">
        <v>517</v>
      </c>
      <c r="D1099" s="1">
        <v>45739</v>
      </c>
      <c r="E1099" t="s">
        <v>39</v>
      </c>
      <c r="F1099" t="s">
        <v>14</v>
      </c>
      <c r="H1099" t="s">
        <v>14</v>
      </c>
      <c r="I1099" t="s">
        <v>89</v>
      </c>
      <c r="J1099" t="s">
        <v>78</v>
      </c>
      <c r="K1099" t="s">
        <v>39</v>
      </c>
      <c r="L1099" t="s">
        <v>213</v>
      </c>
      <c r="M1099" t="s">
        <v>235</v>
      </c>
      <c r="N1099" t="s">
        <v>145</v>
      </c>
    </row>
    <row r="1100" spans="1:14" x14ac:dyDescent="0.2">
      <c r="A1100">
        <v>1473441</v>
      </c>
      <c r="B1100">
        <f>YEAR(#REF!)</f>
        <v>2025</v>
      </c>
      <c r="C1100" t="s">
        <v>517</v>
      </c>
      <c r="D1100" s="1">
        <v>45740</v>
      </c>
      <c r="E1100" t="s">
        <v>117</v>
      </c>
      <c r="F1100" t="s">
        <v>49</v>
      </c>
      <c r="H1100" t="s">
        <v>49</v>
      </c>
      <c r="I1100" t="s">
        <v>89</v>
      </c>
      <c r="J1100" t="s">
        <v>78</v>
      </c>
      <c r="K1100" t="s">
        <v>49</v>
      </c>
      <c r="L1100" t="s">
        <v>403</v>
      </c>
      <c r="M1100" t="s">
        <v>404</v>
      </c>
      <c r="N1100" t="s">
        <v>127</v>
      </c>
    </row>
    <row r="1101" spans="1:14" x14ac:dyDescent="0.2">
      <c r="A1101">
        <v>1473442</v>
      </c>
      <c r="B1101">
        <f>YEAR(#REF!)</f>
        <v>2025</v>
      </c>
      <c r="C1101" t="s">
        <v>517</v>
      </c>
      <c r="D1101" s="1">
        <v>45741</v>
      </c>
      <c r="E1101" t="s">
        <v>62</v>
      </c>
      <c r="F1101" t="s">
        <v>55</v>
      </c>
      <c r="H1101" t="s">
        <v>55</v>
      </c>
      <c r="I1101" t="s">
        <v>89</v>
      </c>
      <c r="J1101" t="s">
        <v>78</v>
      </c>
      <c r="K1101" t="s">
        <v>62</v>
      </c>
      <c r="L1101" t="s">
        <v>128</v>
      </c>
      <c r="M1101" t="s">
        <v>129</v>
      </c>
      <c r="N1101" t="s">
        <v>130</v>
      </c>
    </row>
    <row r="1102" spans="1:14" x14ac:dyDescent="0.2">
      <c r="A1102">
        <v>1473443</v>
      </c>
      <c r="B1102">
        <f>YEAR(#REF!)</f>
        <v>2025</v>
      </c>
      <c r="C1102" t="s">
        <v>517</v>
      </c>
      <c r="D1102" s="1">
        <v>45742</v>
      </c>
      <c r="E1102" t="s">
        <v>14</v>
      </c>
      <c r="F1102" t="s">
        <v>29</v>
      </c>
      <c r="H1102" t="s">
        <v>29</v>
      </c>
      <c r="I1102" t="s">
        <v>89</v>
      </c>
      <c r="J1102" t="s">
        <v>78</v>
      </c>
      <c r="K1102" t="s">
        <v>29</v>
      </c>
      <c r="L1102" t="s">
        <v>315</v>
      </c>
      <c r="M1102" t="s">
        <v>351</v>
      </c>
      <c r="N1102" t="s">
        <v>352</v>
      </c>
    </row>
    <row r="1103" spans="1:14" x14ac:dyDescent="0.2">
      <c r="A1103">
        <v>1473444</v>
      </c>
      <c r="B1103">
        <f>YEAR(#REF!)</f>
        <v>2025</v>
      </c>
      <c r="C1103" t="s">
        <v>517</v>
      </c>
      <c r="D1103" s="1">
        <v>45743</v>
      </c>
      <c r="E1103" t="s">
        <v>39</v>
      </c>
      <c r="F1103" t="s">
        <v>117</v>
      </c>
      <c r="H1103" t="s">
        <v>117</v>
      </c>
      <c r="I1103" t="s">
        <v>89</v>
      </c>
      <c r="J1103" t="s">
        <v>78</v>
      </c>
      <c r="K1103" t="s">
        <v>117</v>
      </c>
      <c r="L1103" t="s">
        <v>290</v>
      </c>
      <c r="M1103" t="s">
        <v>235</v>
      </c>
      <c r="N1103" t="s">
        <v>145</v>
      </c>
    </row>
    <row r="1104" spans="1:14" x14ac:dyDescent="0.2">
      <c r="A1104">
        <v>1473445</v>
      </c>
      <c r="B1104">
        <f>YEAR(#REF!)</f>
        <v>2025</v>
      </c>
      <c r="C1104" t="s">
        <v>517</v>
      </c>
      <c r="D1104" s="1">
        <v>45744</v>
      </c>
      <c r="E1104" t="s">
        <v>61</v>
      </c>
      <c r="F1104" t="s">
        <v>15</v>
      </c>
      <c r="H1104" t="s">
        <v>15</v>
      </c>
      <c r="I1104" t="s">
        <v>89</v>
      </c>
      <c r="J1104" t="s">
        <v>78</v>
      </c>
      <c r="K1104" t="s">
        <v>61</v>
      </c>
      <c r="L1104" t="s">
        <v>267</v>
      </c>
      <c r="M1104" t="s">
        <v>106</v>
      </c>
      <c r="N1104" t="s">
        <v>107</v>
      </c>
    </row>
    <row r="1105" spans="1:14" x14ac:dyDescent="0.2">
      <c r="A1105">
        <v>1473446</v>
      </c>
      <c r="B1105">
        <f>YEAR(#REF!)</f>
        <v>2025</v>
      </c>
      <c r="C1105" t="s">
        <v>517</v>
      </c>
      <c r="D1105" s="1">
        <v>45745</v>
      </c>
      <c r="E1105" t="s">
        <v>55</v>
      </c>
      <c r="F1105" t="s">
        <v>24</v>
      </c>
      <c r="H1105" t="s">
        <v>24</v>
      </c>
      <c r="I1105" t="s">
        <v>89</v>
      </c>
      <c r="J1105" t="s">
        <v>78</v>
      </c>
      <c r="K1105" t="s">
        <v>55</v>
      </c>
      <c r="L1105" t="s">
        <v>283</v>
      </c>
      <c r="M1105" t="s">
        <v>129</v>
      </c>
      <c r="N1105" t="s">
        <v>130</v>
      </c>
    </row>
    <row r="1106" spans="1:14" x14ac:dyDescent="0.2">
      <c r="A1106">
        <v>1473448</v>
      </c>
      <c r="B1106">
        <f>YEAR(#REF!)</f>
        <v>2025</v>
      </c>
      <c r="C1106" t="s">
        <v>517</v>
      </c>
      <c r="D1106" s="1">
        <v>45746</v>
      </c>
      <c r="E1106" t="s">
        <v>14</v>
      </c>
      <c r="F1106" t="s">
        <v>15</v>
      </c>
      <c r="H1106" t="s">
        <v>15</v>
      </c>
      <c r="I1106" t="s">
        <v>89</v>
      </c>
      <c r="J1106" t="s">
        <v>78</v>
      </c>
      <c r="K1106" t="s">
        <v>14</v>
      </c>
      <c r="L1106" t="s">
        <v>122</v>
      </c>
      <c r="M1106" t="s">
        <v>351</v>
      </c>
      <c r="N1106" t="s">
        <v>352</v>
      </c>
    </row>
    <row r="1107" spans="1:14" x14ac:dyDescent="0.2">
      <c r="A1107">
        <v>1473447</v>
      </c>
      <c r="B1107">
        <f>YEAR(#REF!)</f>
        <v>2025</v>
      </c>
      <c r="C1107" t="s">
        <v>517</v>
      </c>
      <c r="D1107" s="1">
        <v>45746</v>
      </c>
      <c r="E1107" t="s">
        <v>39</v>
      </c>
      <c r="F1107" t="s">
        <v>49</v>
      </c>
      <c r="H1107" t="s">
        <v>39</v>
      </c>
      <c r="I1107" t="s">
        <v>77</v>
      </c>
      <c r="J1107" t="s">
        <v>78</v>
      </c>
      <c r="K1107" t="s">
        <v>49</v>
      </c>
      <c r="L1107" t="s">
        <v>105</v>
      </c>
      <c r="M1107" t="s">
        <v>404</v>
      </c>
      <c r="N1107" t="s">
        <v>127</v>
      </c>
    </row>
    <row r="1108" spans="1:14" x14ac:dyDescent="0.2">
      <c r="A1108">
        <v>1473449</v>
      </c>
      <c r="B1108">
        <f>YEAR(#REF!)</f>
        <v>2025</v>
      </c>
      <c r="C1108" t="s">
        <v>517</v>
      </c>
      <c r="D1108" s="1">
        <v>45747</v>
      </c>
      <c r="E1108" t="s">
        <v>29</v>
      </c>
      <c r="F1108" t="s">
        <v>24</v>
      </c>
      <c r="H1108" t="s">
        <v>24</v>
      </c>
      <c r="I1108" t="s">
        <v>89</v>
      </c>
      <c r="J1108" t="s">
        <v>78</v>
      </c>
      <c r="K1108" t="s">
        <v>24</v>
      </c>
      <c r="L1108" t="s">
        <v>492</v>
      </c>
      <c r="M1108" t="s">
        <v>91</v>
      </c>
      <c r="N1108" t="s">
        <v>92</v>
      </c>
    </row>
    <row r="1109" spans="1:14" x14ac:dyDescent="0.2">
      <c r="A1109">
        <v>1473450</v>
      </c>
      <c r="B1109">
        <f>YEAR(#REF!)</f>
        <v>2025</v>
      </c>
      <c r="C1109" t="s">
        <v>517</v>
      </c>
      <c r="D1109" s="1">
        <v>45748</v>
      </c>
      <c r="E1109" t="s">
        <v>117</v>
      </c>
      <c r="F1109" t="s">
        <v>62</v>
      </c>
      <c r="H1109" t="s">
        <v>62</v>
      </c>
      <c r="I1109" t="s">
        <v>89</v>
      </c>
      <c r="J1109" t="s">
        <v>78</v>
      </c>
      <c r="K1109" t="s">
        <v>62</v>
      </c>
      <c r="L1109" t="s">
        <v>275</v>
      </c>
      <c r="M1109" t="s">
        <v>155</v>
      </c>
      <c r="N1109" t="s">
        <v>156</v>
      </c>
    </row>
    <row r="1110" spans="1:14" x14ac:dyDescent="0.2">
      <c r="A1110">
        <v>1473451</v>
      </c>
      <c r="B1110">
        <f>YEAR(#REF!)</f>
        <v>2025</v>
      </c>
      <c r="C1110" t="s">
        <v>517</v>
      </c>
      <c r="D1110" s="1">
        <v>45749</v>
      </c>
      <c r="E1110" t="s">
        <v>61</v>
      </c>
      <c r="F1110" t="s">
        <v>55</v>
      </c>
      <c r="H1110" t="s">
        <v>55</v>
      </c>
      <c r="I1110" t="s">
        <v>89</v>
      </c>
      <c r="J1110" t="s">
        <v>78</v>
      </c>
      <c r="K1110" t="s">
        <v>55</v>
      </c>
      <c r="L1110" t="s">
        <v>329</v>
      </c>
      <c r="M1110" t="s">
        <v>242</v>
      </c>
      <c r="N1110" t="s">
        <v>243</v>
      </c>
    </row>
    <row r="1111" spans="1:14" x14ac:dyDescent="0.2">
      <c r="A1111">
        <v>1473452</v>
      </c>
      <c r="B1111">
        <f>YEAR(#REF!)</f>
        <v>2025</v>
      </c>
      <c r="C1111" t="s">
        <v>517</v>
      </c>
      <c r="D1111" s="1">
        <v>45750</v>
      </c>
      <c r="E1111" t="s">
        <v>29</v>
      </c>
      <c r="F1111" t="s">
        <v>39</v>
      </c>
      <c r="H1111" t="s">
        <v>39</v>
      </c>
      <c r="I1111" t="s">
        <v>89</v>
      </c>
      <c r="J1111" t="s">
        <v>78</v>
      </c>
      <c r="K1111" t="s">
        <v>29</v>
      </c>
      <c r="L1111" t="s">
        <v>236</v>
      </c>
      <c r="M1111" t="s">
        <v>227</v>
      </c>
      <c r="N1111" t="s">
        <v>135</v>
      </c>
    </row>
    <row r="1112" spans="1:14" x14ac:dyDescent="0.2">
      <c r="A1112">
        <v>1473453</v>
      </c>
      <c r="B1112">
        <f>YEAR(#REF!)</f>
        <v>2025</v>
      </c>
      <c r="C1112" t="s">
        <v>517</v>
      </c>
      <c r="D1112" s="1">
        <v>45751</v>
      </c>
      <c r="E1112" t="s">
        <v>117</v>
      </c>
      <c r="F1112" t="s">
        <v>24</v>
      </c>
      <c r="H1112" t="s">
        <v>24</v>
      </c>
      <c r="I1112" t="s">
        <v>89</v>
      </c>
      <c r="J1112" t="s">
        <v>78</v>
      </c>
      <c r="K1112" t="s">
        <v>117</v>
      </c>
      <c r="L1112" t="s">
        <v>265</v>
      </c>
      <c r="M1112" t="s">
        <v>155</v>
      </c>
      <c r="N1112" t="s">
        <v>156</v>
      </c>
    </row>
    <row r="1113" spans="1:14" x14ac:dyDescent="0.2">
      <c r="A1113">
        <v>1473454</v>
      </c>
      <c r="B1113">
        <f>YEAR(#REF!)</f>
        <v>2025</v>
      </c>
      <c r="C1113" t="s">
        <v>517</v>
      </c>
      <c r="D1113" s="1">
        <v>45752</v>
      </c>
      <c r="E1113" t="s">
        <v>49</v>
      </c>
      <c r="F1113" t="s">
        <v>15</v>
      </c>
      <c r="H1113" t="s">
        <v>49</v>
      </c>
      <c r="I1113" t="s">
        <v>77</v>
      </c>
      <c r="J1113" t="s">
        <v>78</v>
      </c>
      <c r="K1113" t="s">
        <v>49</v>
      </c>
      <c r="L1113" t="s">
        <v>50</v>
      </c>
      <c r="M1113" t="s">
        <v>106</v>
      </c>
      <c r="N1113" t="s">
        <v>107</v>
      </c>
    </row>
    <row r="1114" spans="1:14" x14ac:dyDescent="0.2">
      <c r="A1114">
        <v>1473455</v>
      </c>
      <c r="B1114">
        <f>YEAR(#REF!)</f>
        <v>2025</v>
      </c>
      <c r="C1114" t="s">
        <v>517</v>
      </c>
      <c r="D1114" s="1">
        <v>45752</v>
      </c>
      <c r="E1114" t="s">
        <v>14</v>
      </c>
      <c r="F1114" t="s">
        <v>62</v>
      </c>
      <c r="H1114" t="s">
        <v>62</v>
      </c>
      <c r="I1114" t="s">
        <v>89</v>
      </c>
      <c r="J1114" t="s">
        <v>78</v>
      </c>
      <c r="K1114" t="s">
        <v>14</v>
      </c>
      <c r="L1114" t="s">
        <v>445</v>
      </c>
      <c r="M1114" t="s">
        <v>109</v>
      </c>
      <c r="N1114" t="s">
        <v>110</v>
      </c>
    </row>
    <row r="1115" spans="1:14" x14ac:dyDescent="0.2">
      <c r="A1115">
        <v>1473457</v>
      </c>
      <c r="B1115">
        <f>YEAR(#REF!)</f>
        <v>2025</v>
      </c>
      <c r="C1115" t="s">
        <v>517</v>
      </c>
      <c r="D1115" s="1">
        <v>45753</v>
      </c>
      <c r="E1115" t="s">
        <v>39</v>
      </c>
      <c r="F1115" t="s">
        <v>55</v>
      </c>
      <c r="H1115" t="s">
        <v>55</v>
      </c>
      <c r="I1115" t="s">
        <v>89</v>
      </c>
      <c r="J1115" t="s">
        <v>78</v>
      </c>
      <c r="K1115" t="s">
        <v>55</v>
      </c>
      <c r="L1115" t="s">
        <v>329</v>
      </c>
      <c r="M1115" t="s">
        <v>235</v>
      </c>
      <c r="N1115" t="s">
        <v>145</v>
      </c>
    </row>
    <row r="1116" spans="1:14" x14ac:dyDescent="0.2">
      <c r="A1116">
        <v>1473458</v>
      </c>
      <c r="B1116">
        <f>YEAR(#REF!)</f>
        <v>2025</v>
      </c>
      <c r="C1116" t="s">
        <v>517</v>
      </c>
      <c r="D1116" s="1">
        <v>45754</v>
      </c>
      <c r="E1116" t="s">
        <v>61</v>
      </c>
      <c r="F1116" t="s">
        <v>24</v>
      </c>
      <c r="H1116" t="s">
        <v>24</v>
      </c>
      <c r="I1116" t="s">
        <v>89</v>
      </c>
      <c r="J1116" t="s">
        <v>78</v>
      </c>
      <c r="K1116" t="s">
        <v>61</v>
      </c>
      <c r="L1116" t="s">
        <v>267</v>
      </c>
      <c r="M1116" t="s">
        <v>91</v>
      </c>
      <c r="N1116" t="s">
        <v>92</v>
      </c>
    </row>
    <row r="1117" spans="1:14" x14ac:dyDescent="0.2">
      <c r="A1117">
        <v>1473456</v>
      </c>
      <c r="B1117">
        <f>YEAR(#REF!)</f>
        <v>2025</v>
      </c>
      <c r="C1117" t="s">
        <v>517</v>
      </c>
      <c r="D1117" s="1">
        <v>45755</v>
      </c>
      <c r="E1117" t="s">
        <v>117</v>
      </c>
      <c r="F1117" t="s">
        <v>29</v>
      </c>
      <c r="H1117" t="s">
        <v>29</v>
      </c>
      <c r="I1117" t="s">
        <v>89</v>
      </c>
      <c r="J1117" t="s">
        <v>78</v>
      </c>
      <c r="K1117" t="s">
        <v>117</v>
      </c>
      <c r="L1117" t="s">
        <v>241</v>
      </c>
      <c r="M1117" t="s">
        <v>227</v>
      </c>
      <c r="N1117" t="s">
        <v>135</v>
      </c>
    </row>
    <row r="1118" spans="1:14" x14ac:dyDescent="0.2">
      <c r="A1118">
        <v>1473459</v>
      </c>
      <c r="B1118">
        <f>YEAR(#REF!)</f>
        <v>2025</v>
      </c>
      <c r="C1118" t="s">
        <v>517</v>
      </c>
      <c r="D1118" s="1">
        <v>45755</v>
      </c>
      <c r="E1118" t="s">
        <v>62</v>
      </c>
      <c r="F1118" t="s">
        <v>15</v>
      </c>
      <c r="H1118" t="s">
        <v>62</v>
      </c>
      <c r="I1118" t="s">
        <v>77</v>
      </c>
      <c r="J1118" t="s">
        <v>78</v>
      </c>
      <c r="K1118" t="s">
        <v>62</v>
      </c>
      <c r="L1118" t="s">
        <v>297</v>
      </c>
      <c r="M1118" t="s">
        <v>109</v>
      </c>
      <c r="N1118" t="s">
        <v>110</v>
      </c>
    </row>
    <row r="1119" spans="1:14" x14ac:dyDescent="0.2">
      <c r="A1119">
        <v>1473460</v>
      </c>
      <c r="B1119">
        <f>YEAR(#REF!)</f>
        <v>2025</v>
      </c>
      <c r="C1119" t="s">
        <v>517</v>
      </c>
      <c r="D1119" s="1">
        <v>45756</v>
      </c>
      <c r="E1119" t="s">
        <v>55</v>
      </c>
      <c r="F1119" t="s">
        <v>14</v>
      </c>
      <c r="H1119" t="s">
        <v>14</v>
      </c>
      <c r="I1119" t="s">
        <v>89</v>
      </c>
      <c r="J1119" t="s">
        <v>78</v>
      </c>
      <c r="K1119" t="s">
        <v>55</v>
      </c>
      <c r="L1119" t="s">
        <v>63</v>
      </c>
      <c r="M1119" t="s">
        <v>129</v>
      </c>
      <c r="N1119" t="s">
        <v>130</v>
      </c>
    </row>
    <row r="1120" spans="1:14" x14ac:dyDescent="0.2">
      <c r="A1120">
        <v>1473461</v>
      </c>
      <c r="B1120">
        <f>YEAR(#REF!)</f>
        <v>2025</v>
      </c>
      <c r="C1120" t="s">
        <v>517</v>
      </c>
      <c r="D1120" s="1">
        <v>45757</v>
      </c>
      <c r="E1120" t="s">
        <v>61</v>
      </c>
      <c r="F1120" t="s">
        <v>49</v>
      </c>
      <c r="H1120" t="s">
        <v>49</v>
      </c>
      <c r="I1120" t="s">
        <v>89</v>
      </c>
      <c r="J1120" t="s">
        <v>78</v>
      </c>
      <c r="K1120" t="s">
        <v>49</v>
      </c>
      <c r="L1120" t="s">
        <v>50</v>
      </c>
      <c r="M1120" t="s">
        <v>242</v>
      </c>
      <c r="N1120" t="s">
        <v>243</v>
      </c>
    </row>
    <row r="1121" spans="1:14" x14ac:dyDescent="0.2">
      <c r="A1121">
        <v>1473462</v>
      </c>
      <c r="B1121">
        <f>YEAR(#REF!)</f>
        <v>2025</v>
      </c>
      <c r="C1121" t="s">
        <v>517</v>
      </c>
      <c r="D1121" s="1">
        <v>45758</v>
      </c>
      <c r="E1121" t="s">
        <v>15</v>
      </c>
      <c r="F1121" t="s">
        <v>29</v>
      </c>
      <c r="H1121" t="s">
        <v>29</v>
      </c>
      <c r="I1121" t="s">
        <v>89</v>
      </c>
      <c r="J1121" t="s">
        <v>78</v>
      </c>
      <c r="K1121" t="s">
        <v>29</v>
      </c>
      <c r="L1121" t="s">
        <v>133</v>
      </c>
      <c r="M1121" t="s">
        <v>106</v>
      </c>
      <c r="N1121" t="s">
        <v>107</v>
      </c>
    </row>
    <row r="1122" spans="1:14" x14ac:dyDescent="0.2">
      <c r="A1122">
        <v>1473464</v>
      </c>
      <c r="B1122">
        <f>YEAR(#REF!)</f>
        <v>2025</v>
      </c>
      <c r="C1122" t="s">
        <v>517</v>
      </c>
      <c r="D1122" s="1">
        <v>45759</v>
      </c>
      <c r="E1122" t="s">
        <v>62</v>
      </c>
      <c r="F1122" t="s">
        <v>39</v>
      </c>
      <c r="H1122" t="s">
        <v>62</v>
      </c>
      <c r="I1122" t="s">
        <v>77</v>
      </c>
      <c r="J1122" t="s">
        <v>78</v>
      </c>
      <c r="K1122" t="s">
        <v>39</v>
      </c>
      <c r="L1122" t="s">
        <v>234</v>
      </c>
      <c r="M1122" t="s">
        <v>235</v>
      </c>
      <c r="N1122" t="s">
        <v>145</v>
      </c>
    </row>
    <row r="1123" spans="1:14" x14ac:dyDescent="0.2">
      <c r="A1123">
        <v>1473463</v>
      </c>
      <c r="B1123">
        <f>YEAR(#REF!)</f>
        <v>2025</v>
      </c>
      <c r="C1123" t="s">
        <v>517</v>
      </c>
      <c r="D1123" s="1">
        <v>45759</v>
      </c>
      <c r="E1123" t="s">
        <v>55</v>
      </c>
      <c r="F1123" t="s">
        <v>117</v>
      </c>
      <c r="H1123" t="s">
        <v>117</v>
      </c>
      <c r="I1123" t="s">
        <v>89</v>
      </c>
      <c r="J1123" t="s">
        <v>78</v>
      </c>
      <c r="K1123" t="s">
        <v>117</v>
      </c>
      <c r="L1123" t="s">
        <v>422</v>
      </c>
      <c r="M1123" t="s">
        <v>155</v>
      </c>
      <c r="N1123" t="s">
        <v>156</v>
      </c>
    </row>
    <row r="1124" spans="1:14" x14ac:dyDescent="0.2">
      <c r="A1124">
        <v>1473466</v>
      </c>
      <c r="B1124">
        <f>YEAR(#REF!)</f>
        <v>2025</v>
      </c>
      <c r="C1124" t="s">
        <v>517</v>
      </c>
      <c r="D1124" s="1">
        <v>45760</v>
      </c>
      <c r="E1124" t="s">
        <v>24</v>
      </c>
      <c r="F1124" t="s">
        <v>49</v>
      </c>
      <c r="H1124" t="s">
        <v>49</v>
      </c>
      <c r="I1124" t="s">
        <v>89</v>
      </c>
      <c r="J1124" t="s">
        <v>78</v>
      </c>
      <c r="K1124" t="s">
        <v>24</v>
      </c>
      <c r="L1124" t="s">
        <v>300</v>
      </c>
      <c r="M1124" t="s">
        <v>149</v>
      </c>
      <c r="N1124" t="s">
        <v>88</v>
      </c>
    </row>
    <row r="1125" spans="1:14" x14ac:dyDescent="0.2">
      <c r="A1125">
        <v>1473465</v>
      </c>
      <c r="B1125">
        <f>YEAR(#REF!)</f>
        <v>2025</v>
      </c>
      <c r="C1125" t="s">
        <v>517</v>
      </c>
      <c r="D1125" s="1">
        <v>45760</v>
      </c>
      <c r="E1125" t="s">
        <v>14</v>
      </c>
      <c r="F1125" t="s">
        <v>61</v>
      </c>
      <c r="H1125" t="s">
        <v>61</v>
      </c>
      <c r="I1125" t="s">
        <v>89</v>
      </c>
      <c r="J1125" t="s">
        <v>78</v>
      </c>
      <c r="K1125" t="s">
        <v>61</v>
      </c>
      <c r="L1125" t="s">
        <v>309</v>
      </c>
      <c r="M1125" t="s">
        <v>84</v>
      </c>
      <c r="N1125" t="s">
        <v>85</v>
      </c>
    </row>
    <row r="1126" spans="1:14" x14ac:dyDescent="0.2">
      <c r="A1126">
        <v>1473467</v>
      </c>
      <c r="B1126">
        <f>YEAR(#REF!)</f>
        <v>2025</v>
      </c>
      <c r="C1126" t="s">
        <v>517</v>
      </c>
      <c r="D1126" s="1">
        <v>45761</v>
      </c>
      <c r="E1126" t="s">
        <v>117</v>
      </c>
      <c r="F1126" t="s">
        <v>15</v>
      </c>
      <c r="H1126" t="s">
        <v>15</v>
      </c>
      <c r="I1126" t="s">
        <v>89</v>
      </c>
      <c r="J1126" t="s">
        <v>78</v>
      </c>
      <c r="K1126" t="s">
        <v>15</v>
      </c>
      <c r="L1126" t="s">
        <v>119</v>
      </c>
      <c r="M1126" t="s">
        <v>155</v>
      </c>
      <c r="N1126" t="s">
        <v>156</v>
      </c>
    </row>
    <row r="1127" spans="1:14" x14ac:dyDescent="0.2">
      <c r="A1127">
        <v>1473468</v>
      </c>
      <c r="B1127">
        <f>YEAR(#REF!)</f>
        <v>2025</v>
      </c>
      <c r="C1127" t="s">
        <v>517</v>
      </c>
      <c r="D1127" s="1">
        <v>45762</v>
      </c>
      <c r="E1127" t="s">
        <v>62</v>
      </c>
      <c r="F1127" t="s">
        <v>29</v>
      </c>
      <c r="H1127" t="s">
        <v>62</v>
      </c>
      <c r="I1127" t="s">
        <v>77</v>
      </c>
      <c r="J1127" t="s">
        <v>78</v>
      </c>
      <c r="K1127" t="s">
        <v>62</v>
      </c>
      <c r="L1127" t="s">
        <v>333</v>
      </c>
      <c r="M1127" t="s">
        <v>109</v>
      </c>
      <c r="N1127" t="s">
        <v>110</v>
      </c>
    </row>
    <row r="1128" spans="1:14" x14ac:dyDescent="0.2">
      <c r="A1128">
        <v>1473469</v>
      </c>
      <c r="B1128">
        <f>YEAR(#REF!)</f>
        <v>2025</v>
      </c>
      <c r="C1128" t="s">
        <v>517</v>
      </c>
      <c r="D1128" s="1">
        <v>45763</v>
      </c>
      <c r="E1128" t="s">
        <v>49</v>
      </c>
      <c r="F1128" t="s">
        <v>14</v>
      </c>
      <c r="H1128" t="s">
        <v>14</v>
      </c>
      <c r="I1128" t="s">
        <v>89</v>
      </c>
      <c r="J1128" t="s">
        <v>310</v>
      </c>
      <c r="K1128" t="s">
        <v>79</v>
      </c>
      <c r="L1128" t="s">
        <v>105</v>
      </c>
      <c r="M1128" t="s">
        <v>149</v>
      </c>
      <c r="N1128" t="s">
        <v>88</v>
      </c>
    </row>
    <row r="1129" spans="1:14" x14ac:dyDescent="0.2">
      <c r="A1129">
        <v>1473470</v>
      </c>
      <c r="B1129">
        <f>YEAR(#REF!)</f>
        <v>2025</v>
      </c>
      <c r="C1129" t="s">
        <v>517</v>
      </c>
      <c r="D1129" s="1">
        <v>45764</v>
      </c>
      <c r="E1129" t="s">
        <v>39</v>
      </c>
      <c r="F1129" t="s">
        <v>24</v>
      </c>
      <c r="H1129" t="s">
        <v>24</v>
      </c>
      <c r="I1129" t="s">
        <v>89</v>
      </c>
      <c r="J1129" t="s">
        <v>78</v>
      </c>
      <c r="K1129" t="s">
        <v>24</v>
      </c>
      <c r="L1129" t="s">
        <v>430</v>
      </c>
      <c r="M1129" t="s">
        <v>91</v>
      </c>
      <c r="N1129" t="s">
        <v>92</v>
      </c>
    </row>
    <row r="1130" spans="1:14" x14ac:dyDescent="0.2">
      <c r="A1130">
        <v>1473471</v>
      </c>
      <c r="B1130">
        <f>YEAR(#REF!)</f>
        <v>2025</v>
      </c>
      <c r="C1130" t="s">
        <v>517</v>
      </c>
      <c r="D1130" s="1">
        <v>45765</v>
      </c>
      <c r="E1130" t="s">
        <v>61</v>
      </c>
      <c r="F1130" t="s">
        <v>62</v>
      </c>
      <c r="H1130" t="s">
        <v>62</v>
      </c>
      <c r="I1130" t="s">
        <v>89</v>
      </c>
      <c r="J1130" t="s">
        <v>78</v>
      </c>
      <c r="K1130" t="s">
        <v>62</v>
      </c>
      <c r="L1130" t="s">
        <v>276</v>
      </c>
      <c r="M1130" t="s">
        <v>242</v>
      </c>
      <c r="N1130" t="s">
        <v>243</v>
      </c>
    </row>
    <row r="1131" spans="1:14" x14ac:dyDescent="0.2">
      <c r="A1131">
        <v>1473473</v>
      </c>
      <c r="B1131">
        <f>YEAR(#REF!)</f>
        <v>2025</v>
      </c>
      <c r="C1131" t="s">
        <v>517</v>
      </c>
      <c r="D1131" s="1">
        <v>45766</v>
      </c>
      <c r="E1131" t="s">
        <v>117</v>
      </c>
      <c r="F1131" t="s">
        <v>14</v>
      </c>
      <c r="H1131" t="s">
        <v>117</v>
      </c>
      <c r="I1131" t="s">
        <v>77</v>
      </c>
      <c r="J1131" t="s">
        <v>78</v>
      </c>
      <c r="K1131" t="s">
        <v>117</v>
      </c>
      <c r="L1131" t="s">
        <v>191</v>
      </c>
      <c r="M1131" t="s">
        <v>84</v>
      </c>
      <c r="N1131" t="s">
        <v>85</v>
      </c>
    </row>
    <row r="1132" spans="1:14" x14ac:dyDescent="0.2">
      <c r="A1132">
        <v>1473472</v>
      </c>
      <c r="B1132">
        <f>YEAR(#REF!)</f>
        <v>2025</v>
      </c>
      <c r="C1132" t="s">
        <v>517</v>
      </c>
      <c r="D1132" s="1">
        <v>45766</v>
      </c>
      <c r="E1132" t="s">
        <v>49</v>
      </c>
      <c r="F1132" t="s">
        <v>55</v>
      </c>
      <c r="H1132" t="s">
        <v>55</v>
      </c>
      <c r="I1132" t="s">
        <v>89</v>
      </c>
      <c r="J1132" t="s">
        <v>78</v>
      </c>
      <c r="K1132" t="s">
        <v>55</v>
      </c>
      <c r="L1132" t="s">
        <v>247</v>
      </c>
      <c r="M1132" t="s">
        <v>129</v>
      </c>
      <c r="N1132" t="s">
        <v>130</v>
      </c>
    </row>
    <row r="1133" spans="1:14" x14ac:dyDescent="0.2">
      <c r="A1133">
        <v>1473474</v>
      </c>
      <c r="B1133">
        <f>YEAR(#REF!)</f>
        <v>2025</v>
      </c>
      <c r="C1133" t="s">
        <v>517</v>
      </c>
      <c r="D1133" s="1">
        <v>45767</v>
      </c>
      <c r="E1133" t="s">
        <v>62</v>
      </c>
      <c r="F1133" t="s">
        <v>61</v>
      </c>
      <c r="H1133" t="s">
        <v>61</v>
      </c>
      <c r="I1133" t="s">
        <v>89</v>
      </c>
      <c r="J1133" t="s">
        <v>78</v>
      </c>
      <c r="K1133" t="s">
        <v>61</v>
      </c>
      <c r="L1133" t="s">
        <v>257</v>
      </c>
      <c r="M1133" t="s">
        <v>109</v>
      </c>
      <c r="N1133" t="s">
        <v>110</v>
      </c>
    </row>
    <row r="1134" spans="1:14" x14ac:dyDescent="0.2">
      <c r="A1134">
        <v>1473475</v>
      </c>
      <c r="B1134">
        <f>YEAR(#REF!)</f>
        <v>2025</v>
      </c>
      <c r="C1134" t="s">
        <v>517</v>
      </c>
      <c r="D1134" s="1">
        <v>45767</v>
      </c>
      <c r="E1134" t="s">
        <v>15</v>
      </c>
      <c r="F1134" t="s">
        <v>24</v>
      </c>
      <c r="H1134" t="s">
        <v>24</v>
      </c>
      <c r="I1134" t="s">
        <v>89</v>
      </c>
      <c r="J1134" t="s">
        <v>78</v>
      </c>
      <c r="K1134" t="s">
        <v>24</v>
      </c>
      <c r="L1134" t="s">
        <v>96</v>
      </c>
      <c r="M1134" t="s">
        <v>91</v>
      </c>
      <c r="N1134" t="s">
        <v>92</v>
      </c>
    </row>
    <row r="1135" spans="1:14" x14ac:dyDescent="0.2">
      <c r="A1135">
        <v>1473476</v>
      </c>
      <c r="B1135">
        <f>YEAR(#REF!)</f>
        <v>2025</v>
      </c>
      <c r="C1135" t="s">
        <v>517</v>
      </c>
      <c r="D1135" s="1">
        <v>45768</v>
      </c>
      <c r="E1135" t="s">
        <v>55</v>
      </c>
      <c r="F1135" t="s">
        <v>29</v>
      </c>
      <c r="H1135" t="s">
        <v>29</v>
      </c>
      <c r="I1135" t="s">
        <v>89</v>
      </c>
      <c r="J1135" t="s">
        <v>78</v>
      </c>
      <c r="K1135" t="s">
        <v>55</v>
      </c>
      <c r="L1135" t="s">
        <v>59</v>
      </c>
      <c r="M1135" t="s">
        <v>227</v>
      </c>
      <c r="N1135" t="s">
        <v>135</v>
      </c>
    </row>
    <row r="1136" spans="1:14" x14ac:dyDescent="0.2">
      <c r="A1136">
        <v>1473477</v>
      </c>
      <c r="B1136">
        <f>YEAR(#REF!)</f>
        <v>2025</v>
      </c>
      <c r="C1136" t="s">
        <v>517</v>
      </c>
      <c r="D1136" s="1">
        <v>45769</v>
      </c>
      <c r="E1136" t="s">
        <v>117</v>
      </c>
      <c r="F1136" t="s">
        <v>49</v>
      </c>
      <c r="H1136" t="s">
        <v>49</v>
      </c>
      <c r="I1136" t="s">
        <v>89</v>
      </c>
      <c r="J1136" t="s">
        <v>78</v>
      </c>
      <c r="K1136" t="s">
        <v>49</v>
      </c>
      <c r="L1136" t="s">
        <v>438</v>
      </c>
      <c r="M1136" t="s">
        <v>155</v>
      </c>
      <c r="N1136" t="s">
        <v>156</v>
      </c>
    </row>
    <row r="1137" spans="1:14" x14ac:dyDescent="0.2">
      <c r="A1137">
        <v>1473478</v>
      </c>
      <c r="B1137">
        <f>YEAR(#REF!)</f>
        <v>2025</v>
      </c>
      <c r="C1137" t="s">
        <v>517</v>
      </c>
      <c r="D1137" s="1">
        <v>45770</v>
      </c>
      <c r="E1137" t="s">
        <v>39</v>
      </c>
      <c r="F1137" t="s">
        <v>24</v>
      </c>
      <c r="H1137" t="s">
        <v>24</v>
      </c>
      <c r="I1137" t="s">
        <v>89</v>
      </c>
      <c r="J1137" t="s">
        <v>78</v>
      </c>
      <c r="K1137" t="s">
        <v>24</v>
      </c>
      <c r="L1137" t="s">
        <v>207</v>
      </c>
      <c r="M1137" t="s">
        <v>235</v>
      </c>
      <c r="N1137" t="s">
        <v>145</v>
      </c>
    </row>
    <row r="1138" spans="1:14" x14ac:dyDescent="0.2">
      <c r="A1138">
        <v>1473479</v>
      </c>
      <c r="B1138">
        <f>YEAR(#REF!)</f>
        <v>2025</v>
      </c>
      <c r="C1138" t="s">
        <v>517</v>
      </c>
      <c r="D1138" s="1">
        <v>45771</v>
      </c>
      <c r="E1138" t="s">
        <v>61</v>
      </c>
      <c r="F1138" t="s">
        <v>14</v>
      </c>
      <c r="H1138" t="s">
        <v>14</v>
      </c>
      <c r="I1138" t="s">
        <v>89</v>
      </c>
      <c r="J1138" t="s">
        <v>78</v>
      </c>
      <c r="K1138" t="s">
        <v>61</v>
      </c>
      <c r="L1138" t="s">
        <v>266</v>
      </c>
      <c r="M1138" t="s">
        <v>242</v>
      </c>
      <c r="N1138" t="s">
        <v>243</v>
      </c>
    </row>
    <row r="1139" spans="1:14" x14ac:dyDescent="0.2">
      <c r="A1139">
        <v>1473480</v>
      </c>
      <c r="B1139">
        <f>YEAR(#REF!)</f>
        <v>2025</v>
      </c>
      <c r="C1139" t="s">
        <v>517</v>
      </c>
      <c r="D1139" s="1">
        <v>45772</v>
      </c>
      <c r="E1139" t="s">
        <v>15</v>
      </c>
      <c r="F1139" t="s">
        <v>39</v>
      </c>
      <c r="H1139" t="s">
        <v>39</v>
      </c>
      <c r="I1139" t="s">
        <v>89</v>
      </c>
      <c r="J1139" t="s">
        <v>78</v>
      </c>
      <c r="K1139" t="s">
        <v>39</v>
      </c>
      <c r="L1139" t="s">
        <v>339</v>
      </c>
      <c r="M1139" t="s">
        <v>106</v>
      </c>
      <c r="N1139" t="s">
        <v>107</v>
      </c>
    </row>
    <row r="1140" spans="1:14" x14ac:dyDescent="0.2">
      <c r="A1140">
        <v>1473481</v>
      </c>
      <c r="B1140">
        <f>YEAR(#REF!)</f>
        <v>2025</v>
      </c>
      <c r="C1140" t="s">
        <v>517</v>
      </c>
      <c r="D1140" s="1">
        <v>45773</v>
      </c>
      <c r="E1140" t="s">
        <v>62</v>
      </c>
      <c r="F1140" t="s">
        <v>29</v>
      </c>
      <c r="H1140" t="s">
        <v>62</v>
      </c>
      <c r="I1140" t="s">
        <v>77</v>
      </c>
      <c r="J1140" t="s">
        <v>180</v>
      </c>
      <c r="K1140" t="s">
        <v>79</v>
      </c>
      <c r="L1140" t="s">
        <v>181</v>
      </c>
      <c r="M1140" t="s">
        <v>227</v>
      </c>
      <c r="N1140" t="s">
        <v>135</v>
      </c>
    </row>
    <row r="1141" spans="1:14" x14ac:dyDescent="0.2">
      <c r="A1141">
        <v>1473483</v>
      </c>
      <c r="B1141">
        <f>YEAR(#REF!)</f>
        <v>2025</v>
      </c>
      <c r="C1141" t="s">
        <v>517</v>
      </c>
      <c r="D1141" s="1">
        <v>45774</v>
      </c>
      <c r="E1141" t="s">
        <v>49</v>
      </c>
      <c r="F1141" t="s">
        <v>61</v>
      </c>
      <c r="H1141" t="s">
        <v>61</v>
      </c>
      <c r="I1141" t="s">
        <v>89</v>
      </c>
      <c r="J1141" t="s">
        <v>78</v>
      </c>
      <c r="K1141" t="s">
        <v>61</v>
      </c>
      <c r="L1141" t="s">
        <v>148</v>
      </c>
      <c r="M1141" t="s">
        <v>149</v>
      </c>
      <c r="N1141" t="s">
        <v>88</v>
      </c>
    </row>
    <row r="1142" spans="1:14" x14ac:dyDescent="0.2">
      <c r="A1142">
        <v>1473482</v>
      </c>
      <c r="B1142">
        <f>YEAR(#REF!)</f>
        <v>2025</v>
      </c>
      <c r="C1142" t="s">
        <v>517</v>
      </c>
      <c r="D1142" s="1">
        <v>45774</v>
      </c>
      <c r="E1142" t="s">
        <v>24</v>
      </c>
      <c r="F1142" t="s">
        <v>117</v>
      </c>
      <c r="H1142" t="s">
        <v>117</v>
      </c>
      <c r="I1142" t="s">
        <v>89</v>
      </c>
      <c r="J1142" t="s">
        <v>78</v>
      </c>
      <c r="K1142" t="s">
        <v>24</v>
      </c>
      <c r="L1142" t="s">
        <v>430</v>
      </c>
      <c r="M1142" t="s">
        <v>91</v>
      </c>
      <c r="N1142" t="s">
        <v>92</v>
      </c>
    </row>
    <row r="1143" spans="1:14" x14ac:dyDescent="0.2">
      <c r="A1143">
        <v>1473484</v>
      </c>
      <c r="B1143">
        <f>YEAR(#REF!)</f>
        <v>2025</v>
      </c>
      <c r="C1143" t="s">
        <v>517</v>
      </c>
      <c r="D1143" s="1">
        <v>45775</v>
      </c>
      <c r="E1143" t="s">
        <v>55</v>
      </c>
      <c r="F1143" t="s">
        <v>14</v>
      </c>
      <c r="H1143" t="s">
        <v>14</v>
      </c>
      <c r="I1143" t="s">
        <v>89</v>
      </c>
      <c r="J1143" t="s">
        <v>78</v>
      </c>
      <c r="K1143" t="s">
        <v>14</v>
      </c>
      <c r="L1143" t="s">
        <v>136</v>
      </c>
      <c r="M1143" t="s">
        <v>84</v>
      </c>
      <c r="N1143" t="s">
        <v>85</v>
      </c>
    </row>
    <row r="1144" spans="1:14" x14ac:dyDescent="0.2">
      <c r="A1144">
        <v>1473485</v>
      </c>
      <c r="B1144">
        <f>YEAR(#REF!)</f>
        <v>2025</v>
      </c>
      <c r="C1144" t="s">
        <v>517</v>
      </c>
      <c r="D1144" s="1">
        <v>45776</v>
      </c>
      <c r="E1144" t="s">
        <v>29</v>
      </c>
      <c r="F1144" t="s">
        <v>49</v>
      </c>
      <c r="H1144" t="s">
        <v>49</v>
      </c>
      <c r="I1144" t="s">
        <v>89</v>
      </c>
      <c r="J1144" t="s">
        <v>78</v>
      </c>
      <c r="K1144" t="s">
        <v>29</v>
      </c>
      <c r="L1144" t="s">
        <v>133</v>
      </c>
      <c r="M1144" t="s">
        <v>149</v>
      </c>
      <c r="N1144" t="s">
        <v>88</v>
      </c>
    </row>
    <row r="1145" spans="1:14" x14ac:dyDescent="0.2">
      <c r="A1145">
        <v>1473486</v>
      </c>
      <c r="B1145">
        <f>YEAR(#REF!)</f>
        <v>2025</v>
      </c>
      <c r="C1145" t="s">
        <v>517</v>
      </c>
      <c r="D1145" s="1">
        <v>45777</v>
      </c>
      <c r="E1145" t="s">
        <v>15</v>
      </c>
      <c r="F1145" t="s">
        <v>62</v>
      </c>
      <c r="H1145" t="s">
        <v>62</v>
      </c>
      <c r="I1145" t="s">
        <v>89</v>
      </c>
      <c r="J1145" t="s">
        <v>78</v>
      </c>
      <c r="K1145" t="s">
        <v>62</v>
      </c>
      <c r="L1145" t="s">
        <v>128</v>
      </c>
      <c r="M1145" t="s">
        <v>106</v>
      </c>
      <c r="N1145" t="s">
        <v>107</v>
      </c>
    </row>
    <row r="1146" spans="1:14" x14ac:dyDescent="0.2">
      <c r="A1146">
        <v>1473487</v>
      </c>
      <c r="B1146">
        <f>YEAR(#REF!)</f>
        <v>2025</v>
      </c>
      <c r="C1146" t="s">
        <v>517</v>
      </c>
      <c r="D1146" s="1">
        <v>45778</v>
      </c>
      <c r="E1146" t="s">
        <v>24</v>
      </c>
      <c r="F1146" t="s">
        <v>14</v>
      </c>
      <c r="H1146" t="s">
        <v>14</v>
      </c>
      <c r="I1146" t="s">
        <v>89</v>
      </c>
      <c r="J1146" t="s">
        <v>78</v>
      </c>
      <c r="K1146" t="s">
        <v>24</v>
      </c>
      <c r="L1146" t="s">
        <v>239</v>
      </c>
      <c r="M1146" t="s">
        <v>84</v>
      </c>
      <c r="N1146" t="s">
        <v>85</v>
      </c>
    </row>
    <row r="1147" spans="1:14" x14ac:dyDescent="0.2">
      <c r="A1147">
        <v>1473488</v>
      </c>
      <c r="B1147">
        <f>YEAR(#REF!)</f>
        <v>2025</v>
      </c>
      <c r="C1147" t="s">
        <v>517</v>
      </c>
      <c r="D1147" s="1">
        <v>45779</v>
      </c>
      <c r="E1147" t="s">
        <v>55</v>
      </c>
      <c r="F1147" t="s">
        <v>39</v>
      </c>
      <c r="H1147" t="s">
        <v>39</v>
      </c>
      <c r="I1147" t="s">
        <v>89</v>
      </c>
      <c r="J1147" t="s">
        <v>78</v>
      </c>
      <c r="K1147" t="s">
        <v>55</v>
      </c>
      <c r="L1147" t="s">
        <v>283</v>
      </c>
      <c r="M1147" t="s">
        <v>129</v>
      </c>
      <c r="N1147" t="s">
        <v>130</v>
      </c>
    </row>
    <row r="1148" spans="1:14" x14ac:dyDescent="0.2">
      <c r="A1148">
        <v>1473489</v>
      </c>
      <c r="B1148">
        <f>YEAR(#REF!)</f>
        <v>2025</v>
      </c>
      <c r="C1148" t="s">
        <v>517</v>
      </c>
      <c r="D1148" s="1">
        <v>45780</v>
      </c>
      <c r="E1148" t="s">
        <v>61</v>
      </c>
      <c r="F1148" t="s">
        <v>15</v>
      </c>
      <c r="H1148" t="s">
        <v>15</v>
      </c>
      <c r="I1148" t="s">
        <v>89</v>
      </c>
      <c r="J1148" t="s">
        <v>78</v>
      </c>
      <c r="K1148" t="s">
        <v>61</v>
      </c>
      <c r="L1148" t="s">
        <v>147</v>
      </c>
      <c r="M1148" t="s">
        <v>242</v>
      </c>
      <c r="N1148" t="s">
        <v>243</v>
      </c>
    </row>
    <row r="1149" spans="1:14" x14ac:dyDescent="0.2">
      <c r="A1149">
        <v>1473490</v>
      </c>
      <c r="B1149">
        <f>YEAR(#REF!)</f>
        <v>2025</v>
      </c>
      <c r="C1149" t="s">
        <v>517</v>
      </c>
      <c r="D1149" s="1">
        <v>45781</v>
      </c>
      <c r="E1149" t="s">
        <v>29</v>
      </c>
      <c r="F1149" t="s">
        <v>14</v>
      </c>
      <c r="H1149" t="s">
        <v>29</v>
      </c>
      <c r="I1149" t="s">
        <v>77</v>
      </c>
      <c r="J1149" t="s">
        <v>78</v>
      </c>
      <c r="K1149" t="s">
        <v>29</v>
      </c>
      <c r="L1149" t="s">
        <v>140</v>
      </c>
      <c r="M1149" t="s">
        <v>227</v>
      </c>
      <c r="N1149" t="s">
        <v>135</v>
      </c>
    </row>
    <row r="1150" spans="1:14" x14ac:dyDescent="0.2">
      <c r="A1150">
        <v>1473491</v>
      </c>
      <c r="B1150">
        <f>YEAR(#REF!)</f>
        <v>2025</v>
      </c>
      <c r="C1150" t="s">
        <v>517</v>
      </c>
      <c r="D1150" s="1">
        <v>45781</v>
      </c>
      <c r="E1150" t="s">
        <v>62</v>
      </c>
      <c r="F1150" t="s">
        <v>117</v>
      </c>
      <c r="H1150" t="s">
        <v>117</v>
      </c>
      <c r="I1150" t="s">
        <v>89</v>
      </c>
      <c r="J1150" t="s">
        <v>78</v>
      </c>
      <c r="K1150" t="s">
        <v>62</v>
      </c>
      <c r="L1150" t="s">
        <v>275</v>
      </c>
      <c r="M1150" t="s">
        <v>317</v>
      </c>
      <c r="N1150" t="s">
        <v>176</v>
      </c>
    </row>
    <row r="1151" spans="1:14" x14ac:dyDescent="0.2">
      <c r="A1151">
        <v>1473492</v>
      </c>
      <c r="B1151">
        <f>YEAR(#REF!)</f>
        <v>2025</v>
      </c>
      <c r="C1151" t="s">
        <v>517</v>
      </c>
      <c r="D1151" s="1">
        <v>45782</v>
      </c>
      <c r="E1151" t="s">
        <v>49</v>
      </c>
      <c r="F1151" t="s">
        <v>39</v>
      </c>
      <c r="H1151" t="s">
        <v>39</v>
      </c>
      <c r="I1151" t="s">
        <v>89</v>
      </c>
      <c r="J1151" t="s">
        <v>180</v>
      </c>
      <c r="K1151" t="s">
        <v>79</v>
      </c>
      <c r="L1151" t="s">
        <v>181</v>
      </c>
      <c r="M1151" t="s">
        <v>235</v>
      </c>
      <c r="N1151" t="s">
        <v>145</v>
      </c>
    </row>
    <row r="1152" spans="1:14" x14ac:dyDescent="0.2">
      <c r="A1152">
        <v>1473493</v>
      </c>
      <c r="B1152">
        <f>YEAR(#REF!)</f>
        <v>2025</v>
      </c>
      <c r="C1152" t="s">
        <v>517</v>
      </c>
      <c r="D1152" s="1">
        <v>45783</v>
      </c>
      <c r="E1152" t="s">
        <v>24</v>
      </c>
      <c r="F1152" t="s">
        <v>55</v>
      </c>
      <c r="H1152" t="s">
        <v>55</v>
      </c>
      <c r="I1152" t="s">
        <v>89</v>
      </c>
      <c r="J1152" t="s">
        <v>78</v>
      </c>
      <c r="K1152" t="s">
        <v>55</v>
      </c>
      <c r="L1152" t="s">
        <v>59</v>
      </c>
      <c r="M1152" t="s">
        <v>91</v>
      </c>
      <c r="N1152" t="s">
        <v>92</v>
      </c>
    </row>
    <row r="1153" spans="1:14" x14ac:dyDescent="0.2">
      <c r="A1153">
        <v>1473494</v>
      </c>
      <c r="B1153">
        <f>YEAR(#REF!)</f>
        <v>2025</v>
      </c>
      <c r="C1153" t="s">
        <v>517</v>
      </c>
      <c r="D1153" s="1">
        <v>45784</v>
      </c>
      <c r="E1153" t="s">
        <v>29</v>
      </c>
      <c r="F1153" t="s">
        <v>15</v>
      </c>
      <c r="H1153" t="s">
        <v>29</v>
      </c>
      <c r="I1153" t="s">
        <v>77</v>
      </c>
      <c r="J1153" t="s">
        <v>78</v>
      </c>
      <c r="K1153" t="s">
        <v>15</v>
      </c>
      <c r="L1153" t="s">
        <v>413</v>
      </c>
      <c r="M1153" t="s">
        <v>227</v>
      </c>
      <c r="N1153" t="s">
        <v>135</v>
      </c>
    </row>
    <row r="1154" spans="1:14" x14ac:dyDescent="0.2">
      <c r="A1154">
        <v>1473495</v>
      </c>
      <c r="B1154">
        <f>YEAR(#REF!)</f>
        <v>2025</v>
      </c>
      <c r="C1154" t="s">
        <v>517</v>
      </c>
      <c r="D1154" s="1">
        <v>45785</v>
      </c>
      <c r="E1154" t="s">
        <v>62</v>
      </c>
      <c r="F1154" t="s">
        <v>49</v>
      </c>
      <c r="H1154" t="s">
        <v>62</v>
      </c>
      <c r="I1154" t="s">
        <v>77</v>
      </c>
      <c r="J1154" t="s">
        <v>180</v>
      </c>
      <c r="K1154" t="s">
        <v>79</v>
      </c>
      <c r="L1154" t="s">
        <v>181</v>
      </c>
      <c r="M1154" t="s">
        <v>317</v>
      </c>
      <c r="N1154" t="s">
        <v>176</v>
      </c>
    </row>
    <row r="1155" spans="1:14" x14ac:dyDescent="0.2">
      <c r="A1155">
        <v>1473498</v>
      </c>
      <c r="B1155">
        <f>YEAR(#REF!)</f>
        <v>2025</v>
      </c>
      <c r="C1155" t="s">
        <v>517</v>
      </c>
      <c r="D1155" s="1">
        <v>45795</v>
      </c>
      <c r="E1155" t="s">
        <v>49</v>
      </c>
      <c r="F1155" t="s">
        <v>55</v>
      </c>
      <c r="H1155" t="s">
        <v>55</v>
      </c>
      <c r="I1155" t="s">
        <v>89</v>
      </c>
      <c r="J1155" t="s">
        <v>78</v>
      </c>
      <c r="K1155" t="s">
        <v>55</v>
      </c>
      <c r="L1155" t="s">
        <v>63</v>
      </c>
      <c r="M1155" t="s">
        <v>149</v>
      </c>
      <c r="N1155" t="s">
        <v>88</v>
      </c>
    </row>
    <row r="1156" spans="1:14" x14ac:dyDescent="0.2">
      <c r="A1156">
        <v>1473497</v>
      </c>
      <c r="B1156">
        <f>YEAR(#REF!)</f>
        <v>2025</v>
      </c>
      <c r="C1156" t="s">
        <v>517</v>
      </c>
      <c r="D1156" s="1">
        <v>45795</v>
      </c>
      <c r="E1156" t="s">
        <v>62</v>
      </c>
      <c r="F1156" t="s">
        <v>14</v>
      </c>
      <c r="H1156" t="s">
        <v>62</v>
      </c>
      <c r="I1156" t="s">
        <v>77</v>
      </c>
      <c r="J1156" t="s">
        <v>78</v>
      </c>
      <c r="K1156" t="s">
        <v>62</v>
      </c>
      <c r="L1156" t="s">
        <v>401</v>
      </c>
      <c r="M1156" t="s">
        <v>84</v>
      </c>
      <c r="N1156" t="s">
        <v>85</v>
      </c>
    </row>
    <row r="1157" spans="1:14" x14ac:dyDescent="0.2">
      <c r="A1157">
        <v>1473499</v>
      </c>
      <c r="B1157">
        <f>YEAR(#REF!)</f>
        <v>2025</v>
      </c>
      <c r="C1157" t="s">
        <v>517</v>
      </c>
      <c r="D1157" s="1">
        <v>45796</v>
      </c>
      <c r="E1157" t="s">
        <v>117</v>
      </c>
      <c r="F1157" t="s">
        <v>39</v>
      </c>
      <c r="H1157" t="s">
        <v>39</v>
      </c>
      <c r="I1157" t="s">
        <v>89</v>
      </c>
      <c r="J1157" t="s">
        <v>78</v>
      </c>
      <c r="K1157" t="s">
        <v>39</v>
      </c>
      <c r="L1157" t="s">
        <v>234</v>
      </c>
      <c r="M1157" t="s">
        <v>155</v>
      </c>
      <c r="N1157" t="s">
        <v>156</v>
      </c>
    </row>
    <row r="1158" spans="1:14" x14ac:dyDescent="0.2">
      <c r="A1158">
        <v>1473500</v>
      </c>
      <c r="B1158">
        <f>YEAR(#REF!)</f>
        <v>2025</v>
      </c>
      <c r="C1158" t="s">
        <v>517</v>
      </c>
      <c r="D1158" s="1">
        <v>45797</v>
      </c>
      <c r="E1158" t="s">
        <v>15</v>
      </c>
      <c r="F1158" t="s">
        <v>14</v>
      </c>
      <c r="H1158" t="s">
        <v>14</v>
      </c>
      <c r="I1158" t="s">
        <v>89</v>
      </c>
      <c r="J1158" t="s">
        <v>78</v>
      </c>
      <c r="K1158" t="s">
        <v>14</v>
      </c>
      <c r="L1158" t="s">
        <v>402</v>
      </c>
      <c r="M1158" t="s">
        <v>149</v>
      </c>
      <c r="N1158" t="s">
        <v>88</v>
      </c>
    </row>
    <row r="1159" spans="1:14" x14ac:dyDescent="0.2">
      <c r="A1159">
        <v>1473501</v>
      </c>
      <c r="B1159">
        <f>YEAR(#REF!)</f>
        <v>2025</v>
      </c>
      <c r="C1159" t="s">
        <v>517</v>
      </c>
      <c r="D1159" s="1">
        <v>45798</v>
      </c>
      <c r="E1159" t="s">
        <v>24</v>
      </c>
      <c r="F1159" t="s">
        <v>49</v>
      </c>
      <c r="H1159" t="s">
        <v>49</v>
      </c>
      <c r="I1159" t="s">
        <v>89</v>
      </c>
      <c r="J1159" t="s">
        <v>78</v>
      </c>
      <c r="K1159" t="s">
        <v>24</v>
      </c>
      <c r="L1159" t="s">
        <v>287</v>
      </c>
      <c r="M1159" t="s">
        <v>91</v>
      </c>
      <c r="N1159" t="s">
        <v>92</v>
      </c>
    </row>
    <row r="1160" spans="1:14" x14ac:dyDescent="0.2">
      <c r="A1160">
        <v>1473502</v>
      </c>
      <c r="B1160">
        <f>YEAR(#REF!)</f>
        <v>2025</v>
      </c>
      <c r="C1160" t="s">
        <v>517</v>
      </c>
      <c r="D1160" s="1">
        <v>45799</v>
      </c>
      <c r="E1160" t="s">
        <v>117</v>
      </c>
      <c r="F1160" t="s">
        <v>55</v>
      </c>
      <c r="H1160" t="s">
        <v>55</v>
      </c>
      <c r="I1160" t="s">
        <v>89</v>
      </c>
      <c r="J1160" t="s">
        <v>78</v>
      </c>
      <c r="K1160" t="s">
        <v>117</v>
      </c>
      <c r="L1160" t="s">
        <v>346</v>
      </c>
      <c r="M1160" t="s">
        <v>129</v>
      </c>
      <c r="N1160" t="s">
        <v>130</v>
      </c>
    </row>
    <row r="1161" spans="1:14" x14ac:dyDescent="0.2">
      <c r="A1161">
        <v>1473503</v>
      </c>
      <c r="B1161">
        <f>YEAR(#REF!)</f>
        <v>2025</v>
      </c>
      <c r="C1161" t="s">
        <v>517</v>
      </c>
      <c r="D1161" s="1">
        <v>45800</v>
      </c>
      <c r="E1161" t="s">
        <v>39</v>
      </c>
      <c r="F1161" t="s">
        <v>61</v>
      </c>
      <c r="H1161" t="s">
        <v>61</v>
      </c>
      <c r="I1161" t="s">
        <v>89</v>
      </c>
      <c r="J1161" t="s">
        <v>78</v>
      </c>
      <c r="K1161" t="s">
        <v>39</v>
      </c>
      <c r="L1161" t="s">
        <v>213</v>
      </c>
      <c r="M1161" t="s">
        <v>155</v>
      </c>
      <c r="N1161" t="s">
        <v>156</v>
      </c>
    </row>
    <row r="1162" spans="1:14" x14ac:dyDescent="0.2">
      <c r="A1162">
        <v>1485779</v>
      </c>
      <c r="B1162">
        <f>YEAR(#REF!)</f>
        <v>2025</v>
      </c>
      <c r="C1162" t="s">
        <v>517</v>
      </c>
      <c r="D1162" s="1">
        <v>45801</v>
      </c>
      <c r="E1162" t="s">
        <v>62</v>
      </c>
      <c r="F1162" t="s">
        <v>49</v>
      </c>
      <c r="H1162" t="s">
        <v>49</v>
      </c>
      <c r="I1162" t="s">
        <v>89</v>
      </c>
      <c r="J1162" t="s">
        <v>78</v>
      </c>
      <c r="K1162" t="s">
        <v>49</v>
      </c>
      <c r="L1162" t="s">
        <v>262</v>
      </c>
      <c r="M1162" t="s">
        <v>84</v>
      </c>
      <c r="N1162" t="s">
        <v>85</v>
      </c>
    </row>
    <row r="1163" spans="1:14" x14ac:dyDescent="0.2">
      <c r="A1163">
        <v>1473505</v>
      </c>
      <c r="B1163">
        <f>YEAR(#REF!)</f>
        <v>2025</v>
      </c>
      <c r="C1163" t="s">
        <v>517</v>
      </c>
      <c r="D1163" s="1">
        <v>45802</v>
      </c>
      <c r="E1163" t="s">
        <v>39</v>
      </c>
      <c r="F1163" t="s">
        <v>29</v>
      </c>
      <c r="H1163" t="s">
        <v>39</v>
      </c>
      <c r="I1163" t="s">
        <v>77</v>
      </c>
      <c r="J1163" t="s">
        <v>78</v>
      </c>
      <c r="K1163" t="s">
        <v>39</v>
      </c>
      <c r="L1163" t="s">
        <v>356</v>
      </c>
      <c r="M1163" t="s">
        <v>149</v>
      </c>
      <c r="N1163" t="s">
        <v>88</v>
      </c>
    </row>
    <row r="1164" spans="1:14" x14ac:dyDescent="0.2">
      <c r="A1164">
        <v>1473504</v>
      </c>
      <c r="B1164">
        <f>YEAR(#REF!)</f>
        <v>2025</v>
      </c>
      <c r="C1164" t="s">
        <v>517</v>
      </c>
      <c r="D1164" s="1">
        <v>45802</v>
      </c>
      <c r="E1164" t="s">
        <v>15</v>
      </c>
      <c r="F1164" t="s">
        <v>55</v>
      </c>
      <c r="H1164" t="s">
        <v>15</v>
      </c>
      <c r="I1164" t="s">
        <v>77</v>
      </c>
      <c r="J1164" t="s">
        <v>78</v>
      </c>
      <c r="K1164" t="s">
        <v>15</v>
      </c>
      <c r="L1164" t="s">
        <v>491</v>
      </c>
      <c r="M1164" t="s">
        <v>129</v>
      </c>
      <c r="N1164" t="s">
        <v>130</v>
      </c>
    </row>
    <row r="1165" spans="1:14" x14ac:dyDescent="0.2">
      <c r="A1165">
        <v>1473506</v>
      </c>
      <c r="B1165">
        <f>YEAR(#REF!)</f>
        <v>2025</v>
      </c>
      <c r="C1165" t="s">
        <v>517</v>
      </c>
      <c r="D1165" s="1">
        <v>45803</v>
      </c>
      <c r="E1165" t="s">
        <v>24</v>
      </c>
      <c r="F1165" t="s">
        <v>62</v>
      </c>
      <c r="H1165" t="s">
        <v>62</v>
      </c>
      <c r="I1165" t="s">
        <v>89</v>
      </c>
      <c r="J1165" t="s">
        <v>78</v>
      </c>
      <c r="K1165" t="s">
        <v>62</v>
      </c>
      <c r="L1165" t="s">
        <v>454</v>
      </c>
      <c r="M1165" t="s">
        <v>84</v>
      </c>
      <c r="N1165" t="s">
        <v>85</v>
      </c>
    </row>
    <row r="1166" spans="1:14" x14ac:dyDescent="0.2">
      <c r="A1166">
        <v>1473507</v>
      </c>
      <c r="B1166">
        <f>YEAR(#REF!)</f>
        <v>2025</v>
      </c>
      <c r="C1166" t="s">
        <v>517</v>
      </c>
      <c r="D1166" s="1">
        <v>45804</v>
      </c>
      <c r="E1166" t="s">
        <v>117</v>
      </c>
      <c r="F1166" t="s">
        <v>61</v>
      </c>
      <c r="H1166" t="s">
        <v>61</v>
      </c>
      <c r="I1166" t="s">
        <v>89</v>
      </c>
      <c r="J1166" t="s">
        <v>78</v>
      </c>
      <c r="K1166" t="s">
        <v>61</v>
      </c>
      <c r="L1166" t="s">
        <v>486</v>
      </c>
      <c r="M1166" t="s">
        <v>155</v>
      </c>
      <c r="N1166" t="s">
        <v>156</v>
      </c>
    </row>
    <row r="1167" spans="1:14" x14ac:dyDescent="0.2">
      <c r="A1167">
        <v>1473508</v>
      </c>
      <c r="B1167">
        <f>YEAR(#REF!)</f>
        <v>2025</v>
      </c>
      <c r="C1167" t="s">
        <v>517</v>
      </c>
      <c r="D1167" s="1">
        <v>45806</v>
      </c>
      <c r="E1167" t="s">
        <v>62</v>
      </c>
      <c r="F1167" t="s">
        <v>61</v>
      </c>
      <c r="H1167" t="s">
        <v>61</v>
      </c>
      <c r="I1167" t="s">
        <v>89</v>
      </c>
      <c r="J1167" t="s">
        <v>78</v>
      </c>
      <c r="K1167" t="s">
        <v>61</v>
      </c>
      <c r="L1167" t="s">
        <v>437</v>
      </c>
      <c r="M1167" t="s">
        <v>109</v>
      </c>
      <c r="N1167" t="s">
        <v>410</v>
      </c>
    </row>
    <row r="1168" spans="1:14" x14ac:dyDescent="0.2">
      <c r="A1168">
        <v>1473509</v>
      </c>
      <c r="B1168">
        <f>YEAR(#REF!)</f>
        <v>2025</v>
      </c>
      <c r="C1168" t="s">
        <v>517</v>
      </c>
      <c r="D1168" s="1">
        <v>45807</v>
      </c>
      <c r="E1168" t="s">
        <v>24</v>
      </c>
      <c r="F1168" t="s">
        <v>55</v>
      </c>
      <c r="H1168" t="s">
        <v>24</v>
      </c>
      <c r="I1168" t="s">
        <v>77</v>
      </c>
      <c r="J1168" t="s">
        <v>78</v>
      </c>
      <c r="K1168" t="s">
        <v>24</v>
      </c>
      <c r="L1168" t="s">
        <v>96</v>
      </c>
      <c r="M1168" t="s">
        <v>409</v>
      </c>
      <c r="N1168" t="s">
        <v>410</v>
      </c>
    </row>
    <row r="1169" spans="1:14" x14ac:dyDescent="0.2">
      <c r="A1169">
        <v>1473510</v>
      </c>
      <c r="B1169">
        <f>YEAR(#REF!)</f>
        <v>2025</v>
      </c>
      <c r="C1169" t="s">
        <v>517</v>
      </c>
      <c r="D1169" s="1">
        <v>45809</v>
      </c>
      <c r="E1169" t="s">
        <v>24</v>
      </c>
      <c r="F1169" t="s">
        <v>62</v>
      </c>
      <c r="H1169" t="s">
        <v>62</v>
      </c>
      <c r="I1169" t="s">
        <v>89</v>
      </c>
      <c r="J1169" t="s">
        <v>78</v>
      </c>
      <c r="K1169" t="s">
        <v>62</v>
      </c>
      <c r="L1169" t="s">
        <v>128</v>
      </c>
      <c r="M1169" t="s">
        <v>129</v>
      </c>
      <c r="N1169" t="s">
        <v>130</v>
      </c>
    </row>
    <row r="1170" spans="1:14" x14ac:dyDescent="0.2">
      <c r="A1170">
        <v>1473511</v>
      </c>
      <c r="B1170">
        <f>YEAR(#REF!)</f>
        <v>2025</v>
      </c>
      <c r="C1170" t="s">
        <v>517</v>
      </c>
      <c r="D1170" s="1">
        <v>45811</v>
      </c>
      <c r="E1170" t="s">
        <v>61</v>
      </c>
      <c r="F1170" t="s">
        <v>62</v>
      </c>
      <c r="H1170" t="s">
        <v>62</v>
      </c>
      <c r="I1170" t="s">
        <v>89</v>
      </c>
      <c r="J1170" t="s">
        <v>78</v>
      </c>
      <c r="K1170" t="s">
        <v>61</v>
      </c>
      <c r="L1170" t="s">
        <v>148</v>
      </c>
      <c r="M1170" t="s">
        <v>129</v>
      </c>
      <c r="N1170" t="s">
        <v>130</v>
      </c>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1CAF2F-3397-4D11-84FF-BFDFC3EEBC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TITLES</vt:lpstr>
      <vt:lpstr>DASHBOARD</vt:lpstr>
      <vt:lpstr>DATA</vt:lpstr>
      <vt:lpstr>MATCHES WON</vt:lpstr>
      <vt:lpstr>TOSS BASED WINS</vt:lpstr>
      <vt:lpstr>TOP 10 VENUES</vt:lpstr>
      <vt:lpstr>POTM</vt:lpstr>
      <vt:lpstr>KPM</vt:lpstr>
      <vt:lpstr>Match_Info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pvenu</dc:creator>
  <cp:lastModifiedBy>125ei0016@nitrkl.ac.in (ARYAN PATEL)</cp:lastModifiedBy>
  <dcterms:created xsi:type="dcterms:W3CDTF">2026-05-25T17:41:22Z</dcterms:created>
  <dcterms:modified xsi:type="dcterms:W3CDTF">2026-05-25T21:33:37Z</dcterms:modified>
</cp:coreProperties>
</file>